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3a0d2243c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69cc8299604fde"/>
    <x:sheet xmlns:r="http://schemas.openxmlformats.org/officeDocument/2006/relationships" name="Inputs" sheetId="2" r:id="R336d23c32e9e484f"/>
    <x:sheet xmlns:r="http://schemas.openxmlformats.org/officeDocument/2006/relationships" name="Pipe_Suction" sheetId="3" r:id="R65dc2f3f42904fae"/>
    <x:sheet xmlns:r="http://schemas.openxmlformats.org/officeDocument/2006/relationships" name="Pipe_Discharge" sheetId="4" r:id="Ra06a5786085f4342"/>
    <x:sheet xmlns:r="http://schemas.openxmlformats.org/officeDocument/2006/relationships" name="NPSH_Calc" sheetId="5" r:id="R827bd877c8014f8e"/>
    <x:sheet xmlns:r="http://schemas.openxmlformats.org/officeDocument/2006/relationships" name="Route_Trace" sheetId="6" r:id="Ra523fae776ff429a"/>
    <x:sheet xmlns:r="http://schemas.openxmlformats.org/officeDocument/2006/relationships" name="Scenario_Guide" sheetId="7" r:id="Ra5a5e55d03524d29"/>
    <x:sheet xmlns:r="http://schemas.openxmlformats.org/officeDocument/2006/relationships" name="References" sheetId="8" r:id="R9013065118a4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@"/>
    <x:numFmt numFmtId="202" formatCode="0"/>
    <x:numFmt numFmtId="203" formatCode="0.00"/>
  </x:numFmts>
  <x:fonts count="7">
    <x:font>
      <x:sz val="11"/>
      <x:name val="Carlito"/>
    </x:font>
    <x:font>
      <x:sz val="10"/>
      <x:color rgb="0B2F4A"/>
      <x:name val="Aptos"/>
    </x:font>
    <x:font>
      <x:b/>
      <x:sz val="15"/>
      <x:color rgb="FFFFFF"/>
      <x:name val="Aptos"/>
    </x:font>
    <x:font>
      <x:i/>
      <x:sz val="10"/>
      <x:color rgb="0B2F4A"/>
      <x:name val="Aptos"/>
    </x:font>
    <x:font>
      <x:b/>
      <x:sz val="11"/>
      <x:color rgb="FFFFFF"/>
      <x:name val="Carlito"/>
    </x:font>
    <x:font>
      <x:sz val="11"/>
      <x:color rgb="0B2F4A"/>
      <x:name val="Carlito"/>
    </x:font>
    <x:font>
      <x:b/>
      <x:sz val="11"/>
      <x:color rgb="0B2F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3D5E"/>
      </x:patternFill>
    </x:fill>
    <x:fill>
      <x:patternFill patternType="solid">
        <x:fgColor rgb="EAF4FB"/>
      </x:patternFill>
    </x:fill>
    <x:fill>
      <x:patternFill patternType="solid">
        <x:fgColor rgb="1F5F8B"/>
      </x:patternFill>
    </x:fill>
    <x:fill>
      <x:patternFill patternType="solid">
        <x:fgColor rgb="FFF7D6"/>
      </x:patternFill>
    </x:fill>
    <x:fill>
      <x:patternFill patternType="solid">
        <x:fgColor rgb="F5F8FB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5" borderId="0" xfId="0" applyNumberFormat="1" applyFont="1" applyFill="1" applyBorder="1"/>
    <x:xf numFmtId="200" fontId="6" fillId="5" borderId="0" xfId="0" applyNumberFormat="1" applyFont="1" applyFill="1" applyBorder="1"/>
    <x:xf numFmtId="200" fontId="5" fillId="6" borderId="0" xfId="0" applyNumberFormat="1" applyFont="1" applyFill="1" applyBorder="1"/>
    <x:xf numFmtId="200" fontId="0" fillId="0" borderId="0" xfId="0" applyNumberFormat="1" applyFont="1" applyFill="1" applyBorder="1"/>
    <x:xf numFmtId="200" fontId="4" fillId="2" borderId="0" xfId="0" applyNumberFormat="1" applyFont="1" applyFill="1" applyBorder="1"/>
    <x:xf numFmtId="201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202" fontId="5" fillId="6" borderId="0" xfId="0" applyNumberFormat="1" applyFont="1" applyFill="1" applyBorder="1"/>
    <x:xf numFmtId="202" fontId="5" fillId="6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203" fontId="5" fillId="6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047857"/>
      </x:font>
      <x:fill>
        <x:patternFill patternType="solid">
          <x:bgColor rgb="DDF7E8"/>
        </x:patternFill>
      </x:fill>
    </x:dxf>
    <x:dxf>
      <x:font>
        <x:b/>
        <x:color rgb="B45309"/>
      </x:font>
      <x:fill>
        <x:patternFill patternType="solid">
          <x:bgColor rgb="FFF0D5"/>
        </x:patternFill>
      </x:fill>
    </x:dxf>
    <x:dxf>
      <x:font>
        <x:b/>
        <x:color rgb="B91C1C"/>
      </x:font>
      <x:fill>
        <x:patternFill patternType="solid">
          <x:bgColor rgb="FCE0DE"/>
        </x:patternFill>
      </x:fill>
    </x:dxf>
    <x:dxf>
      <x:font>
        <x:b/>
        <x:color rgb="047857"/>
      </x:font>
      <x:fill>
        <x:patternFill patternType="solid">
          <x:bgColor rgb="DDF7E8"/>
        </x:patternFill>
      </x:fill>
    </x:dxf>
    <x:dxf>
      <x:font>
        <x:b/>
        <x:color rgb="B45309"/>
      </x:font>
      <x:fill>
        <x:patternFill patternType="solid">
          <x:bgColor rgb="FFF0D5"/>
        </x:patternFill>
      </x:fill>
    </x:dxf>
    <x:dxf>
      <x:font>
        <x:b/>
        <x:color rgb="B91C1C"/>
      </x:font>
      <x:fill>
        <x:patternFill patternType="solid">
          <x:bgColor rgb="FCE0DE"/>
        </x:patternFill>
      </x:fill>
    </x:dxf>
    <x:dxf>
      <x:font>
        <x:b/>
        <x:color rgb="047857"/>
      </x:font>
      <x:fill>
        <x:patternFill patternType="solid">
          <x:bgColor rgb="DDF7E8"/>
        </x:patternFill>
      </x:fill>
    </x:dxf>
    <x:dxf>
      <x:font>
        <x:b/>
        <x:color rgb="B45309"/>
      </x:font>
      <x:fill>
        <x:patternFill patternType="solid">
          <x:bgColor rgb="FFF0D5"/>
        </x:patternFill>
      </x:fill>
    </x:dxf>
    <x:dxf>
      <x:font>
        <x:b/>
        <x:color rgb="B91C1C"/>
      </x:font>
      <x:fill>
        <x:patternFill patternType="solid">
          <x:bgColor rgb="FCE0DE"/>
        </x:patternFill>
      </x:fill>
    </x:dxf>
    <x:dxf>
      <x:font>
        <x:b/>
        <x:color rgb="047857"/>
      </x:font>
      <x:fill>
        <x:patternFill patternType="solid">
          <x:bgColor rgb="DDF7E8"/>
        </x:patternFill>
      </x:fill>
    </x:dxf>
    <x:dxf>
      <x:font>
        <x:b/>
        <x:color rgb="B45309"/>
      </x:font>
      <x:fill>
        <x:patternFill patternType="solid">
          <x:bgColor rgb="FFF0D5"/>
        </x:patternFill>
      </x:fill>
    </x:dxf>
    <x:dxf>
      <x:font>
        <x:b/>
        <x:color rgb="B91C1C"/>
      </x:font>
      <x:fill>
        <x:patternFill patternType="solid">
          <x:bgColor rgb="FC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d8e20db814251" /><Relationship Type="http://schemas.openxmlformats.org/officeDocument/2006/relationships/theme" Target="/xl/theme/theme1.xml" Id="Ra59a934086644ac4" /><Relationship Type="http://schemas.openxmlformats.org/officeDocument/2006/relationships/sharedStrings" Target="/xl/sharedStrings.xml" Id="Rd83a64486eb94a2d" /><Relationship Type="http://schemas.openxmlformats.org/officeDocument/2006/relationships/worksheet" Target="/xl/worksheets/sheet1.xml" Id="Rd969cc8299604fde" /><Relationship Type="http://schemas.openxmlformats.org/officeDocument/2006/relationships/worksheet" Target="/xl/worksheets/sheet2.xml" Id="R336d23c32e9e484f" /><Relationship Type="http://schemas.openxmlformats.org/officeDocument/2006/relationships/worksheet" Target="/xl/worksheets/sheet3.xml" Id="R65dc2f3f42904fae" /><Relationship Type="http://schemas.openxmlformats.org/officeDocument/2006/relationships/worksheet" Target="/xl/worksheets/sheet4.xml" Id="Ra06a5786085f4342" /><Relationship Type="http://schemas.openxmlformats.org/officeDocument/2006/relationships/worksheet" Target="/xl/worksheets/sheet5.xml" Id="R827bd877c8014f8e" /><Relationship Type="http://schemas.openxmlformats.org/officeDocument/2006/relationships/worksheet" Target="/xl/worksheets/sheet6.xml" Id="Ra523fae776ff429a" /><Relationship Type="http://schemas.openxmlformats.org/officeDocument/2006/relationships/worksheet" Target="/xl/worksheets/sheet7.xml" Id="Ra5a5e55d03524d29" /><Relationship Type="http://schemas.openxmlformats.org/officeDocument/2006/relationships/worksheet" Target="/xl/worksheets/sheet8.xml" Id="R9013065118a44e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42976383e14651" /><Relationship Type="http://schemas.openxmlformats.org/officeDocument/2006/relationships/chart" Target="/xl/drawings/charts/chart2.xml" Id="R9923db28cfb941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NPSH Available vs Required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Head_m</c:v>
          </c:tx>
          <c:cat>
            <c:strRef>
              <c:f>'Dashboard'!$A$46:$A$48</c:f>
              <c:strCache>
                <c:ptCount val="0"/>
              </c:strCache>
            </c:strRef>
          </c:cat>
          <c:val>
            <c:numRef>
              <c:f>'Dashboard'!$B$46:$B$48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Pump Curve and System Head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PumpHead_m</c:v>
          </c:tx>
          <c:cat>
            <c:strRef>
              <c:f>'Dashboard'!$E$46:$E$52</c:f>
              <c:strCache>
                <c:ptCount val="0"/>
              </c:strCache>
            </c:strRef>
          </c:cat>
          <c:val>
            <c:numRef>
              <c:f>'Dashboard'!$F$46:$F$52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SystemHead_m</c:v>
          </c:tx>
          <c:cat>
            <c:strRef>
              <c:f>'Dashboard'!$E$46:$E$52</c:f>
              <c:strCache>
                <c:ptCount val="0"/>
              </c:strCache>
            </c:strRef>
          </c:cat>
          <c:val>
            <c:numRef>
              <c:f>'Dashboard'!$G$46:$G$52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42976383e1465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23db28cfb941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d1fe70b6be41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7.59000015258789" hidden="0" customWidth="1"/>
    <x:col min="3" max="3" width="10.770000457763672" hidden="0" customWidth="1"/>
    <x:col min="4" max="4" width="3.0999999046325684" hidden="0" customWidth="1"/>
    <x:col min="5" max="5" width="23.549999237060547" hidden="0" customWidth="1"/>
    <x:col min="6" max="6" width="27.59000015258789" hidden="0" customWidth="1"/>
    <x:col min="7" max="7" width="10.770000457763672" hidden="0" customWidth="1"/>
    <x:col min="8" max="8" width="3.359999895095825" hidden="0" customWidth="1"/>
    <x:col min="9" max="9" width="3.359999895095825" hidden="0" customWidth="1"/>
    <x:col min="10" max="10" width="15.479999542236328" hidden="0" customWidth="1"/>
    <x:col min="11" max="11" width="15.479999542236328" hidden="0" customWidth="1"/>
    <x:col min="12" max="12" width="15.479999542236328" hidden="0" customWidth="1"/>
    <x:col min="13" max="13" width="3.359999895095825" hidden="0" customWidth="1"/>
    <x:col min="14" max="14" width="3.359999895095825" hidden="0" customWidth="1"/>
    <x:col min="15" max="15" width="3.359999895095825" hidden="0" customWidth="1"/>
    <x:col min="16" max="16" width="3.359999895095825" hidden="0" customWidth="1"/>
    <x:col min="17" max="17" width="3.359999895095825" hidden="0" customWidth="1"/>
  </x:cols>
  <x:sheetData>
    <x:row r="1">
      <x:c r="A1" s="3" t="str">
        <x:v>NPSH Cavitation Risk Calculator</x:v>
      </x:c>
      <x:c r="B1" s="3" t="str">
        <x:v>NPSH Cavitation Risk Calculator</x:v>
      </x:c>
      <x:c r="C1" s="3" t="str">
        <x:v>NPSH Cavitation Risk Calculator</x:v>
      </x:c>
      <x:c r="D1" s="3" t="str">
        <x:v>NPSH Cavitation Risk Calculator</x:v>
      </x:c>
      <x:c r="E1" s="3" t="str">
        <x:v>NPSH Cavitation Risk Calculator</x:v>
      </x:c>
      <x:c r="F1" s="3" t="str">
        <x:v>NPSH Cavitation Risk Calculator</x:v>
      </x:c>
      <x:c r="G1" s="3" t="str">
        <x:v>NPSH Cavitation Risk Calculator</x:v>
      </x:c>
      <x:c r="H1" s="3" t="str">
        <x:v>NPSH Cavitation Risk Calculator</x:v>
      </x:c>
    </x:row>
    <x:row r="2">
      <x:c r="A2" s="6" t="str">
        <x:v>Formula-driven workbook for demonstrating SRC-Pump-SNK route calculation, NPSH trace, and cavitation risk simulation.</x:v>
      </x:c>
      <x:c r="B2" s="6" t="str">
        <x:v>Formula-driven workbook for demonstrating SRC-Pump-SNK route calculation, NPSH trace, and cavitation risk simulation.</x:v>
      </x:c>
      <x:c r="C2" s="6" t="str">
        <x:v>Formula-driven workbook for demonstrating SRC-Pump-SNK route calculation, NPSH trace, and cavitation risk simulation.</x:v>
      </x:c>
      <x:c r="D2" s="6" t="str">
        <x:v>Formula-driven workbook for demonstrating SRC-Pump-SNK route calculation, NPSH trace, and cavitation risk simulation.</x:v>
      </x:c>
      <x:c r="E2" s="6" t="str">
        <x:v>Formula-driven workbook for demonstrating SRC-Pump-SNK route calculation, NPSH trace, and cavitation risk simulation.</x:v>
      </x:c>
      <x:c r="F2" s="6" t="str">
        <x:v>Formula-driven workbook for demonstrating SRC-Pump-SNK route calculation, NPSH trace, and cavitation risk simulation.</x:v>
      </x:c>
      <x:c r="G2" s="6" t="str">
        <x:v>Formula-driven workbook for demonstrating SRC-Pump-SNK route calculation, NPSH trace, and cavitation risk simulation.</x:v>
      </x:c>
      <x:c r="H2" s="6" t="str">
        <x:v>Formula-driven workbook for demonstrating SRC-Pump-SNK route calculation, NPSH trace, and cavitation risk simulation.</x:v>
      </x:c>
    </x:row>
    <x:row r="3">
      <x:c r="A3" s="11" t="str">
        <x:v>Live Summary</x:v>
      </x:c>
      <x:c r="B3" s="11" t="str"/>
      <x:c r="C3" s="11" t="str"/>
      <x:c r="D3" t="str"/>
      <x:c r="E3" s="11" t="str">
        <x:v>Operating Point</x:v>
      </x:c>
      <x:c r="F3" s="11" t="str"/>
      <x:c r="G3" s="11" t="str"/>
    </x:row>
    <x:row r="4">
      <x:c r="A4" s="39" t="str">
        <x:v>Overall status</x:v>
      </x:c>
      <x:c r="B4" s="39" t="str">
        <x:f>NPSH_Calc!$B$32</x:f>
        <x:v>Safe</x:v>
      </x:c>
      <x:c r="C4" s="39" t="str"/>
      <x:c r="D4" s="24"/>
      <x:c r="E4" s="39" t="str">
        <x:v>Flow</x:v>
      </x:c>
      <x:c r="F4" s="29" t="n">
        <x:f>NPSH_Calc!$B$4</x:f>
        <x:v>9.1</x:v>
      </x:c>
      <x:c r="G4" s="39" t="str">
        <x:v>m3/h</x:v>
      </x:c>
    </x:row>
    <x:row r="5">
      <x:c r="A5" s="39" t="str">
        <x:v>NPSHa</x:v>
      </x:c>
      <x:c r="B5" s="29" t="n">
        <x:f>NPSH_Calc!$B$12</x:f>
        <x:v>10.016078747469987</x:v>
      </x:c>
      <x:c r="C5" s="39" t="str">
        <x:v>m</x:v>
      </x:c>
      <x:c r="D5" s="24"/>
      <x:c r="E5" s="39" t="str">
        <x:v>Pump head</x:v>
      </x:c>
      <x:c r="F5" s="29" t="n">
        <x:f>NPSH_Calc!$B$18</x:f>
        <x:v>51.097783033399814</x:v>
      </x:c>
      <x:c r="G5" s="39" t="str">
        <x:v>m</x:v>
      </x:c>
    </x:row>
    <x:row r="6">
      <x:c r="A6" s="39" t="str">
        <x:v>NPSHr</x:v>
      </x:c>
      <x:c r="B6" s="29" t="n">
        <x:f>NPSH_Calc!$B$13</x:f>
        <x:v>3</x:v>
      </x:c>
      <x:c r="C6" s="39" t="str">
        <x:v>m</x:v>
      </x:c>
      <x:c r="D6" s="24"/>
      <x:c r="E6" s="39" t="str">
        <x:v>Suction loss</x:v>
      </x:c>
      <x:c r="F6" s="29" t="n">
        <x:f>NPSH_Calc!$B$11</x:f>
        <x:v>0.013538712890454208</x:v>
      </x:c>
      <x:c r="G6" s="39" t="str">
        <x:v>m</x:v>
      </x:c>
    </x:row>
    <x:row r="7">
      <x:c r="A7" s="39" t="str">
        <x:v>NPSH margin</x:v>
      </x:c>
      <x:c r="B7" s="29" t="n">
        <x:f>NPSH_Calc!$B$14</x:f>
        <x:v>7.016078747469987</x:v>
      </x:c>
      <x:c r="C7" s="39" t="str">
        <x:v>m</x:v>
      </x:c>
      <x:c r="D7" s="24"/>
      <x:c r="E7" s="39" t="str">
        <x:v>Discharge loss</x:v>
      </x:c>
      <x:c r="F7" s="29" t="n">
        <x:f>NPSH_Calc!$B$23</x:f>
        <x:v>0.40317104168744555</x:v>
      </x:c>
      <x:c r="G7" s="39" t="str">
        <x:v>m</x:v>
      </x:c>
    </x:row>
    <x:row r="8">
      <x:c r="A8" s="39" t="str">
        <x:v>NPSH ratio</x:v>
      </x:c>
      <x:c r="B8" s="29" t="n">
        <x:f>NPSH_Calc!$B$15</x:f>
        <x:v>3.3386929158233287</x:v>
      </x:c>
      <x:c r="C8" s="39" t="str">
        <x:v>-</x:v>
      </x:c>
      <x:c r="D8" s="24"/>
      <x:c r="E8" s="39" t="str">
        <x:v>Required outlet pressure</x:v>
      </x:c>
      <x:c r="F8" s="29" t="n">
        <x:f>NPSH_Calc!$B$26</x:f>
        <x:v>1.0595816893371663</x:v>
      </x:c>
      <x:c r="G8" s="39" t="str">
        <x:v>bar a</x:v>
      </x:c>
    </x:row>
    <x:row r="9">
      <x:c r="A9" s="39" t="str">
        <x:v>Pump NPSH status</x:v>
      </x:c>
      <x:c r="B9" s="29" t="str">
        <x:f>NPSH_Calc!$B$16</x:f>
        <x:v>Safe</x:v>
      </x:c>
      <x:c r="C9" s="39" t="str"/>
      <x:c r="D9" s="24"/>
      <x:c r="E9" s="39" t="str">
        <x:v>SNK mode</x:v>
      </x:c>
      <x:c r="F9" s="39" t="str">
        <x:f>Inputs!$B$36</x:f>
        <x:v>Flow Demand Boundary</x:v>
      </x:c>
      <x:c r="G9" s="39" t="str"/>
    </x:row>
    <x:row r="10">
      <x:c r="A10" s="39" t="str">
        <x:v>Boundary status</x:v>
      </x:c>
      <x:c r="B10" s="29" t="str">
        <x:f>NPSH_Calc!$B$29</x:f>
        <x:v>Safe</x:v>
      </x:c>
      <x:c r="C10" s="39" t="str"/>
      <x:c r="D10" s="24"/>
      <x:c r="E10" s="39" t="str">
        <x:v>SRC mode</x:v>
      </x:c>
      <x:c r="F10" s="39" t="str">
        <x:f>Inputs!$B$12</x:f>
        <x:v>Standalone Boundary Source</x:v>
      </x:c>
      <x:c r="G10" s="39" t="str"/>
    </x:row>
    <x:row r="11">
      <x:c r="A11" s="39" t="str">
        <x:v>Outlet P - Pv</x:v>
      </x:c>
      <x:c r="B11" s="29" t="n">
        <x:f>NPSH_Calc!$B$30</x:f>
        <x:v>1.0275816893371663</x:v>
      </x:c>
      <x:c r="C11" s="39" t="str">
        <x:v>bar</x:v>
      </x:c>
      <x:c r="D11" s="24"/>
      <x:c r="E11" s="39" t="str">
        <x:v>Operating region</x:v>
      </x:c>
      <x:c r="F11" s="39" t="str">
        <x:f>NPSH_Calc!$B$20</x:f>
        <x:v>Inside POR</x:v>
      </x:c>
      <x:c r="G11" s="39" t="str"/>
    </x:row>
    <x:row r="13">
      <x:c r="A13" s="11" t="str">
        <x:v>Demonstration workflow</x:v>
      </x:c>
      <x:c r="B13" s="11" t="str"/>
      <x:c r="C13" s="11" t="str"/>
      <x:c r="D13" s="11" t="str"/>
      <x:c r="E13" s="11" t="str"/>
      <x:c r="F13" s="11" t="str"/>
      <x:c r="G13" s="11" t="str"/>
    </x:row>
    <x:row r="14">
      <x:c r="A14" s="37" t="str">
        <x:v>1. Baseline</x:v>
      </x:c>
      <x:c r="B14" s="37" t="str">
        <x:v>Keep the current inputs. Overall status should be Safe.</x:v>
      </x:c>
      <x:c r="C14" s="37" t="str"/>
      <x:c r="D14" s="37" t="str"/>
      <x:c r="E14" s="37" t="str"/>
      <x:c r="F14" s="37" t="str"/>
      <x:c r="G14" s="37" t="str"/>
    </x:row>
    <x:row r="15">
      <x:c r="A15" s="37" t="str">
        <x:v>2. Create risk</x:v>
      </x:c>
      <x:c r="B15" s="37" t="str">
        <x:v>Reduce Source pressure abs to 0.25 bar a or increase suction Add_K; observe NPSHa and status.</x:v>
      </x:c>
      <x:c r="C15" s="37" t="str"/>
      <x:c r="D15" s="37" t="str"/>
      <x:c r="E15" s="37" t="str"/>
      <x:c r="F15" s="37" t="str"/>
      <x:c r="G15" s="37" t="str"/>
    </x:row>
    <x:row r="16">
      <x:c r="A16" s="37" t="str">
        <x:v>3. Recover safe operation</x:v>
      </x:c>
      <x:c r="B16" s="37" t="str">
        <x:v>Restore source pressure, reduce suction loss, or use verified lower NPSHr pump data.</x:v>
      </x:c>
      <x:c r="C16" s="37" t="str"/>
      <x:c r="D16" s="37" t="str"/>
      <x:c r="E16" s="37" t="str"/>
      <x:c r="F16" s="37" t="str"/>
      <x:c r="G16" s="37" t="str"/>
    </x:row>
    <x:row r="17">
      <x:c r="A17" s="37" t="str">
        <x:v>4. Explain SNK</x:v>
      </x:c>
      <x:c r="B17" s="37" t="str">
        <x:v>Flow Demand Boundary sets Qdem and reports required pressure; it avoids pressure residual warning.</x:v>
      </x:c>
      <x:c r="C17" s="37" t="str"/>
      <x:c r="D17" s="37" t="str"/>
      <x:c r="E17" s="37" t="str"/>
      <x:c r="F17" s="37" t="str"/>
      <x:c r="G17" s="37" t="str"/>
    </x:row>
    <x:row r="18">
      <x:c r="A18" s="37" t="str">
        <x:v>5. Add pipe segment</x:v>
      </x:c>
      <x:c r="B18" s="37" t="str">
        <x:v>Set Active=Y in a blank pipe row. Loss formulas are already filled down.</x:v>
      </x:c>
      <x:c r="C18" s="37" t="str"/>
      <x:c r="D18" s="37" t="str"/>
      <x:c r="E18" s="37" t="str"/>
      <x:c r="F18" s="37" t="str"/>
      <x:c r="G18" s="37" t="str"/>
    </x:row>
    <x:row r="19">
      <x:c r="A19" s="37" t="str">
        <x:v>Key acceptance</x:v>
      </x:c>
      <x:c r="B19" s="37" t="str">
        <x:v>Safe status requires NPSHa &gt; NPSHr and margin/ratio above limits, plus no boundary residual warning.</x:v>
      </x:c>
      <x:c r="C19" s="37" t="str"/>
      <x:c r="D19" s="37" t="str"/>
      <x:c r="E19" s="37" t="str"/>
      <x:c r="F19" s="37" t="str"/>
      <x:c r="G19" s="37" t="str"/>
    </x:row>
    <x:row r="20">
      <x:c r="A20" s="37" t="str">
        <x:v>Workbook scope</x:v>
      </x:c>
      <x:c r="B20" s="37" t="str">
        <x:v>Educational screening model for thesis demonstration; final design needs manufacturer curve and verified piping data.</x:v>
      </x:c>
      <x:c r="C20" s="37" t="str"/>
      <x:c r="D20" s="37" t="str"/>
      <x:c r="E20" s="37" t="str"/>
      <x:c r="F20" s="37" t="str"/>
      <x:c r="G20" s="37" t="str"/>
    </x:row>
    <x:row r="45">
      <x:c r="A45" s="9" t="str">
        <x:v>Metric</x:v>
      </x:c>
      <x:c r="B45" s="9" t="str">
        <x:v>Head_m</x:v>
      </x:c>
      <x:c r="E45" s="9" t="str">
        <x:v>Flow_m3h</x:v>
      </x:c>
      <x:c r="F45" s="9" t="str">
        <x:v>PumpHead_m</x:v>
      </x:c>
      <x:c r="G45" s="9" t="str">
        <x:v>SystemHead_m</x:v>
      </x:c>
    </x:row>
    <x:row r="46">
      <x:c r="A46" s="17" t="str">
        <x:v>NPSHa</x:v>
      </x:c>
      <x:c r="B46" s="41" t="n">
        <x:f>NPSH_Calc!$B$12</x:f>
        <x:v>10.016078747469987</x:v>
      </x:c>
      <x:c r="E46" s="41" t="n">
        <x:v>0</x:v>
      </x:c>
      <x:c r="F46" s="41" t="n">
        <x:f>MAX(0,Inputs!$B$25*Inputs!$B$26-(Inputs!$B$25*Inputs!$B$26-Inputs!$B$25)*(E46/Inputs!$B$24)^2)</x:f>
        <x:v>62.5</x:v>
      </x:c>
      <x:c r="G46" s="41" t="n">
        <x:f>(Inputs!$B$37-Inputs!$B$15)+(NPSH_Calc!$B$11+NPSH_Calc!$B$23+NPSH_Calc!$B$25)*(E46/Inputs!$B$17)^2+(Inputs!$B$38*100000/(Inputs!$B$5*Inputs!$B$8)-NPSH_Calc!$B$7)</x:f>
        <x:v>50.2</x:v>
      </x:c>
    </x:row>
    <x:row r="47">
      <x:c r="A47" s="17" t="str">
        <x:v>NPSHr</x:v>
      </x:c>
      <x:c r="B47" s="41" t="n">
        <x:f>NPSH_Calc!$B$13</x:f>
        <x:v>3</x:v>
      </x:c>
      <x:c r="E47" s="41" t="n">
        <x:v>5</x:v>
      </x:c>
      <x:c r="F47" s="41" t="n">
        <x:f>MAX(0,Inputs!$B$25*Inputs!$B$26-(Inputs!$B$25*Inputs!$B$26-Inputs!$B$25)*(E47/Inputs!$B$24)^2)</x:f>
        <x:v>59.057717375135795</x:v>
      </x:c>
      <x:c r="G47" s="41" t="n">
        <x:f>(Inputs!$B$37-Inputs!$B$15)+(NPSH_Calc!$B$11+NPSH_Calc!$B$23+NPSH_Calc!$B$25)*(E47/Inputs!$B$17)^2+(Inputs!$B$38*100000/(Inputs!$B$5*Inputs!$B$8)-NPSH_Calc!$B$7)</x:f>
        <x:v>50.32726055132535</x:v>
      </x:c>
    </x:row>
    <x:row r="48">
      <x:c r="A48" s="17" t="str">
        <x:v>Margin</x:v>
      </x:c>
      <x:c r="B48" s="41" t="n">
        <x:f>NPSH_Calc!$B$14</x:f>
        <x:v>7.016078747469987</x:v>
      </x:c>
      <x:c r="E48" s="41" t="n">
        <x:v>9.1</x:v>
      </x:c>
      <x:c r="F48" s="41" t="n">
        <x:f>MAX(0,Inputs!$B$25*Inputs!$B$26-(Inputs!$B$25*Inputs!$B$26-Inputs!$B$25)*(E48/Inputs!$B$24)^2)</x:f>
        <x:v>51.097783033399814</x:v>
      </x:c>
      <x:c r="G48" s="41" t="n">
        <x:f>(Inputs!$B$37-Inputs!$B$15)+(NPSH_Calc!$B$11+NPSH_Calc!$B$23+NPSH_Calc!$B$25)*(E48/Inputs!$B$17)^2+(Inputs!$B$38*100000/(Inputs!$B$5*Inputs!$B$8)-NPSH_Calc!$B$7)</x:f>
        <x:v>50.62153785021008</x:v>
      </x:c>
    </x:row>
    <x:row r="49">
      <x:c r="E49" s="41" t="n">
        <x:v>12</x:v>
      </x:c>
      <x:c r="F49" s="41" t="n">
        <x:f>MAX(0,Inputs!$B$25*Inputs!$B$26-(Inputs!$B$25*Inputs!$B$26-Inputs!$B$25)*(E49/Inputs!$B$24)^2)</x:f>
        <x:v>42.67245208078219</x:v>
      </x:c>
      <x:c r="G49" s="41" t="n">
        <x:f>(Inputs!$B$37-Inputs!$B$15)+(NPSH_Calc!$B$11+NPSH_Calc!$B$23+NPSH_Calc!$B$25)*(E49/Inputs!$B$17)^2+(Inputs!$B$38*100000/(Inputs!$B$5*Inputs!$B$8)-NPSH_Calc!$B$7)</x:f>
        <x:v>50.933020775634</x:v>
      </x:c>
    </x:row>
    <x:row r="50">
      <x:c r="E50" s="41" t="n">
        <x:v>15</x:v>
      </x:c>
      <x:c r="F50" s="41" t="n">
        <x:f>MAX(0,Inputs!$B$25*Inputs!$B$26-(Inputs!$B$25*Inputs!$B$26-Inputs!$B$25)*(E50/Inputs!$B$24)^2)</x:f>
        <x:v>31.51945637622217</x:v>
      </x:c>
      <x:c r="G50" s="41" t="n">
        <x:f>(Inputs!$B$37-Inputs!$B$15)+(NPSH_Calc!$B$11+NPSH_Calc!$B$23+NPSH_Calc!$B$25)*(E50/Inputs!$B$17)^2+(Inputs!$B$38*100000/(Inputs!$B$5*Inputs!$B$8)-NPSH_Calc!$B$7)</x:f>
        <x:v>51.34534496192813</x:v>
      </x:c>
    </x:row>
    <x:row r="51">
      <x:c r="E51" s="41" t="n">
        <x:v>18</x:v>
      </x:c>
      <x:c r="F51" s="41" t="n">
        <x:f>MAX(0,Inputs!$B$25*Inputs!$B$26-(Inputs!$B$25*Inputs!$B$26-Inputs!$B$25)*(E51/Inputs!$B$24)^2)</x:f>
        <x:v>17.888017181759928</x:v>
      </x:c>
      <x:c r="G51" s="41" t="n">
        <x:f>(Inputs!$B$37-Inputs!$B$15)+(NPSH_Calc!$B$11+NPSH_Calc!$B$23+NPSH_Calc!$B$25)*(E51/Inputs!$B$17)^2+(Inputs!$B$38*100000/(Inputs!$B$5*Inputs!$B$8)-NPSH_Calc!$B$7)</x:f>
        <x:v>51.8492967451765</x:v>
      </x:c>
    </x:row>
    <x:row r="52">
      <x:c r="E52" s="41" t="n">
        <x:v>21.2</x:v>
      </x:c>
      <x:c r="F52" s="41" t="n">
        <x:f>MAX(0,Inputs!$B$25*Inputs!$B$26-(Inputs!$B$25*Inputs!$B$26-Inputs!$B$25)*(E52/Inputs!$B$24)^2)</x:f>
        <x:v>0.6160198832413144</x:v>
      </x:c>
      <x:c r="G52" s="41" t="n">
        <x:f>(Inputs!$B$37-Inputs!$B$15)+(NPSH_Calc!$B$11+NPSH_Calc!$B$23+NPSH_Calc!$B$25)*(E52/Inputs!$B$17)^2+(Inputs!$B$38*100000/(Inputs!$B$5*Inputs!$B$8)-NPSH_Calc!$B$7)</x:f>
        <x:v>52.48783928750656</x:v>
      </x:c>
    </x:row>
  </x:sheetData>
  <x:mergeCells>
    <x:mergeCell ref="A1:H1"/>
    <x:mergeCell ref="A2:H2"/>
    <x:mergeCell ref="B14:G14"/>
    <x:mergeCell ref="B15:G15"/>
    <x:mergeCell ref="B16:G16"/>
    <x:mergeCell ref="B17:G17"/>
    <x:mergeCell ref="B18:G18"/>
    <x:mergeCell ref="B19:G19"/>
    <x:mergeCell ref="B20:G20"/>
  </x:mergeCells>
  <x:conditionalFormatting sqref="B4:B10">
    <x:cfRule type="containsText" dxfId="6" priority="1" operator="containsText" text="Safe"/>
    <x:cfRule type="containsText" dxfId="7" priority="2" operator="containsText" text="Warning"/>
    <x:cfRule type="containsText" dxfId="8" priority="3" operator="containsText" text="Cavitation Risk"/>
  </x:conditionalFormatting>
  <x:conditionalFormatting sqref="F11:F11">
    <x:cfRule type="containsText" dxfId="9" priority="4" operator="containsText" text="Safe"/>
    <x:cfRule type="containsText" dxfId="10" priority="5" operator="containsText" text="Warning"/>
    <x:cfRule type="containsText" dxfId="11" priority="6" operator="containsText" text="Cavitation Risk"/>
  </x:conditionalFormatting>
  <x:pageMargins left="0.7" right="0.7" top="0.75" bottom="0.75" header="0.3" footer="0.3"/>
  <x:drawing xmlns:r="http://schemas.openxmlformats.org/officeDocument/2006/relationships" r:id="R00d1fe70b6be41f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3.549999237060547" hidden="0" customWidth="1"/>
    <x:col min="3" max="3" width="12.109999656677246" hidden="0" customWidth="1"/>
    <x:col min="4" max="4" width="51.81999969482422" hidden="0" customWidth="1"/>
    <x:col min="5" max="5" width="2.0199999809265137" hidden="0" customWidth="1"/>
    <x:col min="6" max="6" width="2.0199999809265137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NPSH Calculation Inputs</x:v>
      </x:c>
      <x:c r="B1" s="3" t="str">
        <x:v>NPSH Calculation Inputs</x:v>
      </x:c>
      <x:c r="C1" s="3" t="str">
        <x:v>NPSH Calculation Inputs</x:v>
      </x:c>
      <x:c r="D1" s="3" t="str">
        <x:v>NPSH Calculation Inputs</x:v>
      </x:c>
      <x:c r="E1" s="3" t="str">
        <x:v>NPSH Calculation Inputs</x:v>
      </x:c>
      <x:c r="F1" s="3" t="str">
        <x:v>NPSH Calculation Inputs</x:v>
      </x:c>
      <x:c r="G1" s="3" t="str">
        <x:v>NPSH Calculation Inputs</x:v>
      </x:c>
      <x:c r="H1" s="3" t="str">
        <x:v>NPSH Calculation Inputs</x:v>
      </x:c>
    </x:row>
    <x:row r="2">
      <x:c r="A2" s="6" t="str">
        <x:v>Edit the yellow cells. Calculated cells are formula-driven and update the whole workbook.</x:v>
      </x:c>
      <x:c r="B2" s="6" t="str">
        <x:v>Edit the yellow cells. Calculated cells are formula-driven and update the whole workbook.</x:v>
      </x:c>
      <x:c r="C2" s="6" t="str">
        <x:v>Edit the yellow cells. Calculated cells are formula-driven and update the whole workbook.</x:v>
      </x:c>
      <x:c r="D2" s="6" t="str">
        <x:v>Edit the yellow cells. Calculated cells are formula-driven and update the whole workbook.</x:v>
      </x:c>
      <x:c r="E2" s="6" t="str">
        <x:v>Edit the yellow cells. Calculated cells are formula-driven and update the whole workbook.</x:v>
      </x:c>
      <x:c r="F2" s="6" t="str">
        <x:v>Edit the yellow cells. Calculated cells are formula-driven and update the whole workbook.</x:v>
      </x:c>
      <x:c r="G2" s="6" t="str">
        <x:v>Edit the yellow cells. Calculated cells are formula-driven and update the whole workbook.</x:v>
      </x:c>
      <x:c r="H2" s="6" t="str">
        <x:v>Edit the yellow cells. Calculated cells are formula-driven and update the whole workbook.</x:v>
      </x:c>
    </x:row>
    <x:row r="3">
      <x:c r="A3" s="9" t="str">
        <x:v>Parameter</x:v>
      </x:c>
      <x:c r="B3" s="9" t="str">
        <x:v>Value</x:v>
      </x:c>
      <x:c r="C3" s="9" t="str">
        <x:v>Unit</x:v>
      </x:c>
      <x:c r="D3" s="9" t="str">
        <x:v>Engineering note</x:v>
      </x:c>
    </x:row>
    <x:row r="4">
      <x:c r="A4" s="11" t="str">
        <x:v>General Fluid Basis</x:v>
      </x:c>
      <x:c r="B4" s="11" t="str"/>
      <x:c r="C4" s="11" t="str"/>
      <x:c r="D4" s="11" t="str"/>
    </x:row>
    <x:row r="5">
      <x:c r="A5" s="24" t="str">
        <x:v>Density</x:v>
      </x:c>
      <x:c r="B5" s="25" t="n">
        <x:v>997.047</x:v>
      </x:c>
      <x:c r="C5" s="24" t="str">
        <x:v>kg/m3</x:v>
      </x:c>
      <x:c r="D5" s="24" t="str">
        <x:v>Water at 25 deg C; used for pressure/head conversion.</x:v>
      </x:c>
    </x:row>
    <x:row r="6">
      <x:c r="A6" s="24" t="str">
        <x:v>Dynamic viscosity</x:v>
      </x:c>
      <x:c r="B6" s="25" t="n">
        <x:v>0.89</x:v>
      </x:c>
      <x:c r="C6" s="24" t="str">
        <x:v>cP</x:v>
      </x:c>
      <x:c r="D6" s="24" t="str">
        <x:v>Used for Reynolds number and Darcy friction factor.</x:v>
      </x:c>
    </x:row>
    <x:row r="7">
      <x:c r="A7" s="24" t="str">
        <x:v>Vapor pressure</x:v>
      </x:c>
      <x:c r="B7" s="25" t="n">
        <x:v>0.032</x:v>
      </x:c>
      <x:c r="C7" s="24" t="str">
        <x:v>bar a</x:v>
      </x:c>
      <x:c r="D7" s="24" t="str">
        <x:v>Absolute vapor pressure at active fluid temperature.</x:v>
      </x:c>
    </x:row>
    <x:row r="8">
      <x:c r="A8" s="24" t="str">
        <x:v>Gravity</x:v>
      </x:c>
      <x:c r="B8" s="25" t="n">
        <x:v>9.81</x:v>
      </x:c>
      <x:c r="C8" s="24" t="str">
        <x:v>m/s2</x:v>
      </x:c>
      <x:c r="D8" s="24" t="str">
        <x:v>Standard gravitational acceleration used in head equations.</x:v>
      </x:c>
    </x:row>
    <x:row r="9">
      <x:c r="A9" s="24" t="str">
        <x:v>Atmospheric pressure</x:v>
      </x:c>
      <x:c r="B9" s="25" t="n">
        <x:v>1.01325</x:v>
      </x:c>
      <x:c r="C9" s="24" t="str">
        <x:v>bar a</x:v>
      </x:c>
      <x:c r="D9" s="24" t="str">
        <x:v>Reference atmospheric pressure for gauge/absolute conversion.</x:v>
      </x:c>
    </x:row>
    <x:row r="10">
      <x:c r="A10" s="24"/>
      <x:c r="B10" s="25"/>
      <x:c r="C10" s="24"/>
      <x:c r="D10" s="24"/>
    </x:row>
    <x:row r="11">
      <x:c r="A11" s="26" t="str">
        <x:v>SRC Boundary</x:v>
      </x:c>
      <x:c r="B11" s="27" t="str"/>
      <x:c r="C11" s="26" t="str"/>
      <x:c r="D11" s="26" t="str"/>
    </x:row>
    <x:row r="12">
      <x:c r="A12" s="24" t="str">
        <x:v>Source type</x:v>
      </x:c>
      <x:c r="B12" s="28" t="str">
        <x:v>Standalone Boundary Source</x:v>
      </x:c>
      <x:c r="C12" s="24" t="str">
        <x:v>-</x:v>
      </x:c>
      <x:c r="D12" s="24" t="str">
        <x:v>Use Open Tank/Reservoir or Pressurized Vessel only when boundary data is inherited from real equipment.</x:v>
      </x:c>
    </x:row>
    <x:row r="13">
      <x:c r="A13" s="24" t="str">
        <x:v>Flow input mode</x:v>
      </x:c>
      <x:c r="B13" s="28" t="str">
        <x:v>Solve from Network</x:v>
      </x:c>
      <x:c r="C13" s="24" t="str">
        <x:v>-</x:v>
      </x:c>
      <x:c r="D13" s="24" t="str">
        <x:v>Recommended for this thesis case so the pump/system route determines the operating flow.</x:v>
      </x:c>
    </x:row>
    <x:row r="14">
      <x:c r="A14" s="24" t="str">
        <x:v>Source pressure abs</x:v>
      </x:c>
      <x:c r="B14" s="25" t="n">
        <x:v>1.013</x:v>
      </x:c>
      <x:c r="C14" s="24" t="str">
        <x:v>bar a</x:v>
      </x:c>
      <x:c r="D14" s="24" t="str">
        <x:v>Absolute pressure at source boundary or liquid surface.</x:v>
      </x:c>
    </x:row>
    <x:row r="15">
      <x:c r="A15" s="24" t="str">
        <x:v>Source elevation zSRC</x:v>
      </x:c>
      <x:c r="B15" s="25" t="n">
        <x:v>0</x:v>
      </x:c>
      <x:c r="C15" s="24" t="str">
        <x:v>m</x:v>
      </x:c>
      <x:c r="D15" s="24" t="str">
        <x:v>Source liquid level or source boundary elevation.</x:v>
      </x:c>
    </x:row>
    <x:row r="16">
      <x:c r="A16" s="24" t="str">
        <x:v>Pump suction elevation</x:v>
      </x:c>
      <x:c r="B16" s="25" t="n">
        <x:v>0</x:v>
      </x:c>
      <x:c r="C16" s="24" t="str">
        <x:v>m</x:v>
      </x:c>
      <x:c r="D16" s="24" t="str">
        <x:v>Pump suction nozzle or pump datum elevation.</x:v>
      </x:c>
    </x:row>
    <x:row r="17">
      <x:c r="A17" s="24" t="str">
        <x:v>Evaluated / demand flow</x:v>
      </x:c>
      <x:c r="B17" s="25" t="n">
        <x:v>9.1</x:v>
      </x:c>
      <x:c r="C17" s="24" t="str">
        <x:v>m3/h</x:v>
      </x:c>
      <x:c r="D17" s="24" t="str">
        <x:v>Main flow used by pipe losses, pump curve, and NPSH evaluation.</x:v>
      </x:c>
    </x:row>
    <x:row r="18">
      <x:c r="A18" s="24" t="str">
        <x:v>Source pressure head Hsrc</x:v>
      </x:c>
      <x:c r="B18" s="29" t="n">
        <x:f>B14*100000/(B5*B8)</x:f>
        <x:v>10.356781332665777</x:v>
      </x:c>
      <x:c r="C18" s="24" t="str">
        <x:v>m</x:v>
      </x:c>
      <x:c r="D18" s="24" t="str">
        <x:v>Calculated = Psrc/(rho*g).</x:v>
      </x:c>
    </x:row>
    <x:row r="19">
      <x:c r="A19" s="24" t="str">
        <x:v>Vapor pressure head Hv</x:v>
      </x:c>
      <x:c r="B19" s="29" t="n">
        <x:f>B7*100000/(B5*B8)</x:f>
        <x:v>0.32716387230533556</x:v>
      </x:c>
      <x:c r="C19" s="24" t="str">
        <x:v>m</x:v>
      </x:c>
      <x:c r="D19" s="24" t="str">
        <x:v>Calculated = Pv/(rho*g).</x:v>
      </x:c>
    </x:row>
    <x:row r="20">
      <x:c r="A20" s="24"/>
      <x:c r="B20" s="30"/>
      <x:c r="C20" s="24"/>
      <x:c r="D20" s="24"/>
    </x:row>
    <x:row r="21">
      <x:c r="A21" s="26" t="str">
        <x:v>Pump Data</x:v>
      </x:c>
      <x:c r="B21" s="31" t="str"/>
      <x:c r="C21" s="26" t="str"/>
      <x:c r="D21" s="26" t="str"/>
    </x:row>
    <x:row r="22">
      <x:c r="A22" s="24" t="str">
        <x:v>NPSHr source</x:v>
      </x:c>
      <x:c r="B22" s="28" t="str">
        <x:v>Manual</x:v>
      </x:c>
      <x:c r="C22" s="24" t="str">
        <x:v>-</x:v>
      </x:c>
      <x:c r="D22" s="24" t="str">
        <x:v>Manual is preferred for thesis validation when datasheet/test NPSHr is available.</x:v>
      </x:c>
    </x:row>
    <x:row r="23">
      <x:c r="A23" s="24" t="str">
        <x:v>Manual NPSHr</x:v>
      </x:c>
      <x:c r="B23" s="25" t="n">
        <x:v>3</x:v>
      </x:c>
      <x:c r="C23" s="24" t="str">
        <x:v>m</x:v>
      </x:c>
      <x:c r="D23" s="24" t="str">
        <x:v>Required NPSH from pump curve/datasheet or validation case.</x:v>
      </x:c>
    </x:row>
    <x:row r="24">
      <x:c r="A24" s="24" t="str">
        <x:v>BEP / design flow</x:v>
      </x:c>
      <x:c r="B24" s="25" t="n">
        <x:v>9.528</x:v>
      </x:c>
      <x:c r="C24" s="24" t="str">
        <x:v>m3/h</x:v>
      </x:c>
      <x:c r="D24" s="24" t="str">
        <x:v>Best efficiency point or design flow reference.</x:v>
      </x:c>
    </x:row>
    <x:row r="25">
      <x:c r="A25" s="24" t="str">
        <x:v>Design head</x:v>
      </x:c>
      <x:c r="B25" s="25" t="n">
        <x:v>50</x:v>
      </x:c>
      <x:c r="C25" s="24" t="str">
        <x:v>m</x:v>
      </x:c>
      <x:c r="D25" s="24" t="str">
        <x:v>Rated pump head at design flow.</x:v>
      </x:c>
    </x:row>
    <x:row r="26">
      <x:c r="A26" s="24" t="str">
        <x:v>Shutoff head factor</x:v>
      </x:c>
      <x:c r="B26" s="25" t="n">
        <x:v>1.25</x:v>
      </x:c>
      <x:c r="C26" s="24" t="str">
        <x:v>-</x:v>
      </x:c>
      <x:c r="D26" s="24" t="str">
        <x:v>Simple educational pump curve factor. Head(Q=0)=factor*design head.</x:v>
      </x:c>
    </x:row>
    <x:row r="27">
      <x:c r="A27" s="24" t="str">
        <x:v>Design efficiency</x:v>
      </x:c>
      <x:c r="B27" s="25" t="n">
        <x:v>75</x:v>
      </x:c>
      <x:c r="C27" s="24" t="str">
        <x:v>%</x:v>
      </x:c>
      <x:c r="D27" s="24" t="str">
        <x:v>Educational input for pump reporting.</x:v>
      </x:c>
    </x:row>
    <x:row r="28">
      <x:c r="A28" s="24" t="str">
        <x:v>Minimum NPSH margin</x:v>
      </x:c>
      <x:c r="B28" s="25" t="n">
        <x:v>0.5</x:v>
      </x:c>
      <x:c r="C28" s="24" t="str">
        <x:v>m</x:v>
      </x:c>
      <x:c r="D28" s="24" t="str">
        <x:v>Warning if NPSHa-NPSHr is below this margin.</x:v>
      </x:c>
    </x:row>
    <x:row r="29">
      <x:c r="A29" s="24" t="str">
        <x:v>Minimum NPSH ratio</x:v>
      </x:c>
      <x:c r="B29" s="25" t="n">
        <x:v>1.1</x:v>
      </x:c>
      <x:c r="C29" s="24" t="str">
        <x:v>-</x:v>
      </x:c>
      <x:c r="D29" s="24" t="str">
        <x:v>Warning if NPSHa/NPSHr is below this ratio.</x:v>
      </x:c>
    </x:row>
    <x:row r="30">
      <x:c r="A30" s="24" t="str">
        <x:v>POR minimum</x:v>
      </x:c>
      <x:c r="B30" s="25" t="n">
        <x:v>70</x:v>
      </x:c>
      <x:c r="C30" s="24" t="str">
        <x:v>% BEP</x:v>
      </x:c>
      <x:c r="D30" s="24" t="str">
        <x:v>Preferred operating region lower bound.</x:v>
      </x:c>
    </x:row>
    <x:row r="31">
      <x:c r="A31" s="24" t="str">
        <x:v>POR maximum</x:v>
      </x:c>
      <x:c r="B31" s="25" t="n">
        <x:v>120</x:v>
      </x:c>
      <x:c r="C31" s="24" t="str">
        <x:v>% BEP</x:v>
      </x:c>
      <x:c r="D31" s="24" t="str">
        <x:v>Preferred operating region upper bound.</x:v>
      </x:c>
    </x:row>
    <x:row r="32">
      <x:c r="A32" s="24" t="str">
        <x:v>AOR minimum</x:v>
      </x:c>
      <x:c r="B32" s="25" t="n">
        <x:v>50</x:v>
      </x:c>
      <x:c r="C32" s="24" t="str">
        <x:v>% BEP</x:v>
      </x:c>
      <x:c r="D32" s="24" t="str">
        <x:v>Allowable operating region lower bound.</x:v>
      </x:c>
    </x:row>
    <x:row r="33">
      <x:c r="A33" s="24" t="str">
        <x:v>AOR maximum</x:v>
      </x:c>
      <x:c r="B33" s="25" t="n">
        <x:v>130</x:v>
      </x:c>
      <x:c r="C33" s="24" t="str">
        <x:v>% BEP</x:v>
      </x:c>
      <x:c r="D33" s="24" t="str">
        <x:v>Allowable operating region upper bound.</x:v>
      </x:c>
    </x:row>
    <x:row r="34">
      <x:c r="A34" s="24"/>
      <x:c r="B34" s="30"/>
      <x:c r="C34" s="24"/>
      <x:c r="D34" s="24"/>
    </x:row>
    <x:row r="35">
      <x:c r="A35" s="26" t="str">
        <x:v>SNK Boundary</x:v>
      </x:c>
      <x:c r="B35" s="31" t="str"/>
      <x:c r="C35" s="26" t="str"/>
      <x:c r="D35" s="26" t="str"/>
    </x:row>
    <x:row r="36">
      <x:c r="A36" s="24" t="str">
        <x:v>Boundary mode</x:v>
      </x:c>
      <x:c r="B36" s="28" t="str">
        <x:v>Flow Demand Boundary</x:v>
      </x:c>
      <x:c r="C36" s="24" t="str">
        <x:v>-</x:v>
      </x:c>
      <x:c r="D36" s="24" t="str">
        <x:v>Recommended case after our discussion; the sink imposes flow and pressure is reported as required pressure.</x:v>
      </x:c>
    </x:row>
    <x:row r="37">
      <x:c r="A37" s="24" t="str">
        <x:v>Sink elevation zSNK</x:v>
      </x:c>
      <x:c r="B37" s="25" t="n">
        <x:v>50.2</x:v>
      </x:c>
      <x:c r="C37" s="24" t="str">
        <x:v>m</x:v>
      </x:c>
      <x:c r="D37" s="24" t="str">
        <x:v>Outlet terminal elevation.</x:v>
      </x:c>
    </x:row>
    <x:row r="38">
      <x:c r="A38" s="24" t="str">
        <x:v>Reference pressure abs</x:v>
      </x:c>
      <x:c r="B38" s="25" t="n">
        <x:v>1.013</x:v>
      </x:c>
      <x:c r="C38" s="24" t="str">
        <x:v>bar a</x:v>
      </x:c>
      <x:c r="D38" s="24" t="str">
        <x:v>Atmospheric reference or specified outlet pressure depending on boundary mode.</x:v>
      </x:c>
    </x:row>
    <x:row r="39">
      <x:c r="A39" s="24" t="str">
        <x:v>Demand flow</x:v>
      </x:c>
      <x:c r="B39" s="25" t="n">
        <x:f>B17</x:f>
        <x:v>9.1</x:v>
      </x:c>
      <x:c r="C39" s="24" t="str">
        <x:v>m3/h</x:v>
      </x:c>
      <x:c r="D39" s="24" t="str">
        <x:v>Linked to evaluated flow in this demo.</x:v>
      </x:c>
    </x:row>
    <x:row r="40">
      <x:c r="A40" s="24" t="str">
        <x:v>Pipe pressure type</x:v>
      </x:c>
      <x:c r="B40" s="28" t="str">
        <x:v>Static</x:v>
      </x:c>
      <x:c r="C40" s="24" t="str">
        <x:v>-</x:v>
      </x:c>
      <x:c r="D40" s="24" t="str">
        <x:v>Static pressure subtracts terminal velocity head from total head.</x:v>
      </x:c>
    </x:row>
    <x:row r="41">
      <x:c r="A41" s="24" t="str">
        <x:v>Required outlet pressure</x:v>
      </x:c>
      <x:c r="B41" s="29" t="n">
        <x:f>NPSH_Calc!B26</x:f>
        <x:v>1.0595816893371663</x:v>
      </x:c>
      <x:c r="C41" s="24" t="str">
        <x:v>bar a</x:v>
      </x:c>
      <x:c r="D41" s="24" t="str">
        <x:v>Calculated consequence of route, pump head, and sink elevation.</x:v>
      </x:c>
    </x:row>
    <x:row r="42">
      <x:c r="A42" s="24" t="str">
        <x:v>Boundary residual</x:v>
      </x:c>
      <x:c r="B42" s="29" t="n">
        <x:f>NPSH_Calc!B28</x:f>
        <x:v>0</x:v>
      </x:c>
      <x:c r="C42" s="24" t="str">
        <x:v>bar</x:v>
      </x:c>
      <x:c r="D42" s="24" t="str">
        <x:v>Zero for Flow Demand Boundary; pressure mismatch check for pressure boundary modes.</x:v>
      </x:c>
    </x:row>
  </x:sheetData>
  <x:mergeCells>
    <x:mergeCell ref="A1:H1"/>
    <x:mergeCell ref="A2:H2"/>
  </x:mergeCells>
  <x:dataValidations count="5">
    <x:dataValidation type="list" sqref="B12">
      <x:formula1>"Open Tank / Reservoir,Pressurized Vessel,External Header / Pipe Tie-in,Fixed Flow Source,Standalone Boundary Source"</x:formula1>
    </x:dataValidation>
    <x:dataValidation type="list" sqref="B13">
      <x:formula1>"Solve from Network,Fixed Flow"</x:formula1>
    </x:dataValidation>
    <x:dataValidation type="list" sqref="B22">
      <x:formula1>"Manual,Estimated"</x:formula1>
    </x:dataValidation>
    <x:dataValidation type="list" sqref="B36">
      <x:formula1>"Free Outlet / Atmospheric Discharge,Outlet Pressure Boundary,Flow Demand Boundary"</x:formula1>
    </x:dataValidation>
    <x:dataValidation type="list" sqref="B40">
      <x:formula1>"Static,Stagnation"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84000015258789" hidden="0" customWidth="1"/>
    <x:col min="3" max="3" width="10.770000457763672" hidden="0" customWidth="1"/>
    <x:col min="4" max="4" width="10.770000457763672" hidden="0" customWidth="1"/>
    <x:col min="5" max="5" width="13.460000038146973" hidden="0" customWidth="1"/>
    <x:col min="6" max="6" width="9.420000076293945" hidden="0" customWidth="1"/>
    <x:col min="7" max="7" width="8.079999923706055" hidden="0" customWidth="1"/>
    <x:col min="8" max="8" width="9.420000076293945" hidden="0" customWidth="1"/>
    <x:col min="9" max="9" width="9.420000076293945" hidden="0" customWidth="1"/>
    <x:col min="10" max="10" width="12.109999656677246" hidden="0" customWidth="1"/>
    <x:col min="11" max="11" width="12.109999656677246" hidden="0" customWidth="1"/>
    <x:col min="12" max="12" width="13.460000038146973" hidden="0" customWidth="1"/>
    <x:col min="13" max="13" width="12.109999656677246" hidden="0" customWidth="1"/>
    <x:col min="14" max="14" width="12.109999656677246" hidden="0" customWidth="1"/>
    <x:col min="15" max="15" width="12.789999961853027" hidden="0" customWidth="1"/>
    <x:col min="16" max="16" width="12.789999961853027" hidden="0" customWidth="1"/>
    <x:col min="17" max="17" width="12.789999961853027" hidden="0" customWidth="1"/>
    <x:col min="18" max="18" width="11.4399995803833" hidden="0" customWidth="1"/>
    <x:col min="19" max="19" width="11.4399995803833" hidden="0" customWidth="1"/>
    <x:col min="20" max="20" width="12.109999656677246" hidden="0" customWidth="1"/>
    <x:col min="21" max="21" width="32.970001220703125" hidden="0" customWidth="1"/>
  </x:cols>
  <x:sheetData>
    <x:row r="1">
      <x:c r="A1" s="3" t="str">
        <x:v>Suction Pipe Segments</x:v>
      </x:c>
      <x:c r="B1" s="3" t="str">
        <x:v>Suction Pipe Segments</x:v>
      </x:c>
      <x:c r="C1" s="3" t="str">
        <x:v>Suction Pipe Segments</x:v>
      </x:c>
      <x:c r="D1" s="3" t="str">
        <x:v>Suction Pipe Segments</x:v>
      </x:c>
      <x:c r="E1" s="3" t="str">
        <x:v>Suction Pipe Segments</x:v>
      </x:c>
      <x:c r="F1" s="3" t="str">
        <x:v>Suction Pipe Segments</x:v>
      </x:c>
      <x:c r="G1" s="3" t="str">
        <x:v>Suction Pipe Segments</x:v>
      </x:c>
      <x:c r="H1" s="3" t="str">
        <x:v>Suction Pipe Segments</x:v>
      </x:c>
    </x:row>
    <x:row r="2">
      <x:c r="A2" s="6" t="str">
        <x:v>Add suction segments by setting Active=Y. Suction losses are directly subtracted from NPSHa.</x:v>
      </x:c>
      <x:c r="B2" s="6" t="str">
        <x:v>Add suction segments by setting Active=Y. Suction losses are directly subtracted from NPSHa.</x:v>
      </x:c>
      <x:c r="C2" s="6" t="str">
        <x:v>Add suction segments by setting Active=Y. Suction losses are directly subtracted from NPSHa.</x:v>
      </x:c>
      <x:c r="D2" s="6" t="str">
        <x:v>Add suction segments by setting Active=Y. Suction losses are directly subtracted from NPSHa.</x:v>
      </x:c>
      <x:c r="E2" s="6" t="str">
        <x:v>Add suction segments by setting Active=Y. Suction losses are directly subtracted from NPSHa.</x:v>
      </x:c>
      <x:c r="F2" s="6" t="str">
        <x:v>Add suction segments by setting Active=Y. Suction losses are directly subtracted from NPSHa.</x:v>
      </x:c>
      <x:c r="G2" s="6" t="str">
        <x:v>Add suction segments by setting Active=Y. Suction losses are directly subtracted from NPSHa.</x:v>
      </x:c>
      <x:c r="H2" s="6" t="str">
        <x:v>Add suction segments by setting Active=Y. Suction losses are directly subtracted from NPSHa.</x:v>
      </x:c>
    </x:row>
    <x:row r="3">
      <x:c r="A3" s="11" t="str">
        <x:v>Pipe Segment Inputs and Calculations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  <x:c r="T3" s="11" t="str"/>
      <x:c r="U3" s="11" t="str"/>
    </x:row>
    <x:row r="4">
      <x:c r="A4" s="9" t="str">
        <x:v>Active</x:v>
      </x:c>
      <x:c r="B4" s="9" t="str">
        <x:v>Segment</x:v>
      </x:c>
      <x:c r="C4" s="9" t="str">
        <x:v>Length_m</x:v>
      </x:c>
      <x:c r="D4" s="9" t="str">
        <x:v>ID_mm</x:v>
      </x:c>
      <x:c r="E4" s="9" t="str">
        <x:v>Roughness_mm</x:v>
      </x:c>
      <x:c r="F4" s="9" t="str">
        <x:v>K_each</x:v>
      </x:c>
      <x:c r="G4" s="9" t="str">
        <x:v>Qty</x:v>
      </x:c>
      <x:c r="H4" s="9" t="str">
        <x:v>Add_K</x:v>
      </x:c>
      <x:c r="I4" s="9" t="str">
        <x:v>K_total</x:v>
      </x:c>
      <x:c r="J4" s="9" t="str">
        <x:v>Area_m2</x:v>
      </x:c>
      <x:c r="K4" s="9" t="str">
        <x:v>Velocity_m_s</x:v>
      </x:c>
      <x:c r="L4" s="9" t="str">
        <x:v>VelocityHead_m</x:v>
      </x:c>
      <x:c r="M4" s="9" t="str">
        <x:v>Reynolds</x:v>
      </x:c>
      <x:c r="N4" s="9" t="str">
        <x:v>FrictionFactor</x:v>
      </x:c>
      <x:c r="O4" s="9" t="str">
        <x:v>MajorLoss_m</x:v>
      </x:c>
      <x:c r="P4" s="9" t="str">
        <x:v>MinorLoss_m</x:v>
      </x:c>
      <x:c r="Q4" s="9" t="str">
        <x:v>TotalLoss_m</x:v>
      </x:c>
      <x:c r="R4" s="9" t="str">
        <x:v>ElevStart_m</x:v>
      </x:c>
      <x:c r="S4" s="9" t="str">
        <x:v>ElevEnd_m</x:v>
      </x:c>
      <x:c r="T4" s="9" t="str">
        <x:v>HighPoint_m</x:v>
      </x:c>
      <x:c r="U4" s="9" t="str">
        <x:v>Notes</x:v>
      </x:c>
    </x:row>
    <x:row r="5">
      <x:c r="A5" s="28" t="str">
        <x:v>Y</x:v>
      </x:c>
      <x:c r="B5" s="28" t="str">
        <x:f>IF($A5="Y","PIPE-1-Seg-"&amp;ROW()-4,"")</x:f>
        <x:v>PIPE-1-Seg-1</x:v>
      </x:c>
      <x:c r="C5" s="25" t="n">
        <x:v>12</x:v>
      </x:c>
      <x:c r="D5" s="25" t="n">
        <x:v>102.26</x:v>
      </x:c>
      <x:c r="E5" s="25" t="n">
        <x:v>0.045</x:v>
      </x:c>
      <x:c r="F5" s="25" t="n">
        <x:v>0</x:v>
      </x:c>
      <x:c r="G5" s="25" t="n">
        <x:v>0</x:v>
      </x:c>
      <x:c r="H5" s="25" t="n">
        <x:v>0</x:v>
      </x:c>
      <x:c r="I5" s="29" t="n">
        <x:f>IF($A5&lt;&gt;"Y",0,IF($H5&gt;0,$H5,$F5*$G5))</x:f>
        <x:v>0</x:v>
      </x:c>
      <x:c r="J5" s="29" t="n">
        <x:f>IF(OR($A5&lt;&gt;"Y",$D5&lt;=0),0,PI()*($D5/1000)^2/4)</x:f>
        <x:v>0.0082129931034895</x:v>
      </x:c>
      <x:c r="K5" s="29" t="n">
        <x:f>IF($J5=0,0,Inputs!$B$17/3600/$J5)</x:f>
        <x:v>0.30777790093404395</x:v>
      </x:c>
      <x:c r="L5" s="29" t="n">
        <x:f>$K5^2/(2*Inputs!$B$8)</x:f>
        <x:v>0.004828095632179723</x:v>
      </x:c>
      <x:c r="M5" s="33" t="n">
        <x:f>IF(OR($A5&lt;&gt;"Y",$D5&lt;=0),0,Inputs!$B$5*$K5*($D5/1000)/(Inputs!$B$6/1000))</x:f>
        <x:v>35258.90707120203</x:v>
      </x:c>
      <x:c r="N5" s="29" t="n">
        <x:f>IFERROR(IF($M5&lt;=0,0,IF($M5&lt;2300,64/$M5,0.25/(LOG10(($E5/1000)/(3.7*($D5/1000))+5.74/($M5^0.9)))^2)),0)</x:f>
        <x:v>0.023896046627408494</x:v>
      </x:c>
      <x:c r="O5" s="29" t="n">
        <x:f>IF($A5&lt;&gt;"Y",0,$N5*$C5/($D5/1000)*$L5)</x:f>
        <x:v>0.013538712890454208</x:v>
      </x:c>
      <x:c r="P5" s="29" t="n">
        <x:f>IF($A5&lt;&gt;"Y",0,$I5*$L5)</x:f>
        <x:v>0</x:v>
      </x:c>
      <x:c r="Q5" s="29" t="n">
        <x:f>IF($A5&lt;&gt;"Y",0,$O5+$P5)</x:f>
        <x:v>0.013538712890454208</x:v>
      </x:c>
      <x:c r="R5" s="34" t="n">
        <x:v>0</x:v>
      </x:c>
      <x:c r="S5" s="34" t="n">
        <x:v>0</x:v>
      </x:c>
      <x:c r="T5" s="34" t="n">
        <x:v>0</x:v>
      </x:c>
      <x:c r="U5" s="34" t="str">
        <x:v>Baseline suction pipe. Suction loss directly reduces NPSHa.</x:v>
      </x:c>
    </x:row>
    <x:row r="6">
      <x:c r="A6" s="28" t="str"/>
      <x:c r="B6" s="28" t="str">
        <x:f>IF($A6="Y","PIPE-1-Seg-"&amp;ROW()-4,"")</x:f>
      </x:c>
      <x:c r="C6" s="25"/>
      <x:c r="D6" s="25"/>
      <x:c r="E6" s="25" t="n">
        <x:v>0.045</x:v>
      </x:c>
      <x:c r="F6" s="25" t="n">
        <x:v>0</x:v>
      </x:c>
      <x:c r="G6" s="25" t="n">
        <x:v>0</x:v>
      </x:c>
      <x:c r="H6" s="25" t="n">
        <x:v>0</x:v>
      </x:c>
      <x:c r="I6" s="29" t="n">
        <x:f>IF($A6&lt;&gt;"Y",0,IF($H6&gt;0,$H6,$F6*$G6))</x:f>
        <x:v>0</x:v>
      </x:c>
      <x:c r="J6" s="29" t="n">
        <x:f>IF(OR($A6&lt;&gt;"Y",$D6&lt;=0),0,PI()*($D6/1000)^2/4)</x:f>
        <x:v>0</x:v>
      </x:c>
      <x:c r="K6" s="29" t="n">
        <x:f>IF($J6=0,0,Inputs!$B$17/3600/$J6)</x:f>
        <x:v>0</x:v>
      </x:c>
      <x:c r="L6" s="29" t="n">
        <x:f>$K6^2/(2*Inputs!$B$8)</x:f>
        <x:v>0</x:v>
      </x:c>
      <x:c r="M6" s="33" t="n">
        <x:f>IF(OR($A6&lt;&gt;"Y",$D6&lt;=0),0,Inputs!$B$5*$K6*($D6/1000)/(Inputs!$B$6/1000))</x:f>
        <x:v>0</x:v>
      </x:c>
      <x:c r="N6" s="29" t="n">
        <x:f>IFERROR(IF($M6&lt;=0,0,IF($M6&lt;2300,64/$M6,0.25/(LOG10(($E6/1000)/(3.7*($D6/1000))+5.74/($M6^0.9)))^2)),0)</x:f>
        <x:v>0</x:v>
      </x:c>
      <x:c r="O6" s="29" t="n">
        <x:f>IF($A6&lt;&gt;"Y",0,$N6*$C6/($D6/1000)*$L6)</x:f>
        <x:v>0</x:v>
      </x:c>
      <x:c r="P6" s="29" t="n">
        <x:f>IF($A6&lt;&gt;"Y",0,$I6*$L6)</x:f>
        <x:v>0</x:v>
      </x:c>
      <x:c r="Q6" s="29" t="n">
        <x:f>IF($A6&lt;&gt;"Y",0,$O6+$P6)</x:f>
        <x:v>0</x:v>
      </x:c>
      <x:c r="R6" s="34" t="str"/>
      <x:c r="S6" s="34" t="str"/>
      <x:c r="T6" s="34" t="str"/>
      <x:c r="U6" s="34" t="str">
        <x:v>Set Active=Y to add this segment.</x:v>
      </x:c>
    </x:row>
    <x:row r="7">
      <x:c r="A7" s="28" t="str"/>
      <x:c r="B7" s="28" t="str">
        <x:f>IF($A7="Y","PIPE-1-Seg-"&amp;ROW()-4,"")</x:f>
      </x:c>
      <x:c r="C7" s="25"/>
      <x:c r="D7" s="25"/>
      <x:c r="E7" s="25" t="n">
        <x:v>0.045</x:v>
      </x:c>
      <x:c r="F7" s="25" t="n">
        <x:v>0</x:v>
      </x:c>
      <x:c r="G7" s="25" t="n">
        <x:v>0</x:v>
      </x:c>
      <x:c r="H7" s="25" t="n">
        <x:v>0</x:v>
      </x:c>
      <x:c r="I7" s="29" t="n">
        <x:f>IF($A7&lt;&gt;"Y",0,IF($H7&gt;0,$H7,$F7*$G7))</x:f>
        <x:v>0</x:v>
      </x:c>
      <x:c r="J7" s="29" t="n">
        <x:f>IF(OR($A7&lt;&gt;"Y",$D7&lt;=0),0,PI()*($D7/1000)^2/4)</x:f>
        <x:v>0</x:v>
      </x:c>
      <x:c r="K7" s="29" t="n">
        <x:f>IF($J7=0,0,Inputs!$B$17/3600/$J7)</x:f>
        <x:v>0</x:v>
      </x:c>
      <x:c r="L7" s="29" t="n">
        <x:f>$K7^2/(2*Inputs!$B$8)</x:f>
        <x:v>0</x:v>
      </x:c>
      <x:c r="M7" s="33" t="n">
        <x:f>IF(OR($A7&lt;&gt;"Y",$D7&lt;=0),0,Inputs!$B$5*$K7*($D7/1000)/(Inputs!$B$6/1000))</x:f>
        <x:v>0</x:v>
      </x:c>
      <x:c r="N7" s="29" t="n">
        <x:f>IFERROR(IF($M7&lt;=0,0,IF($M7&lt;2300,64/$M7,0.25/(LOG10(($E7/1000)/(3.7*($D7/1000))+5.74/($M7^0.9)))^2)),0)</x:f>
        <x:v>0</x:v>
      </x:c>
      <x:c r="O7" s="29" t="n">
        <x:f>IF($A7&lt;&gt;"Y",0,$N7*$C7/($D7/1000)*$L7)</x:f>
        <x:v>0</x:v>
      </x:c>
      <x:c r="P7" s="29" t="n">
        <x:f>IF($A7&lt;&gt;"Y",0,$I7*$L7)</x:f>
        <x:v>0</x:v>
      </x:c>
      <x:c r="Q7" s="29" t="n">
        <x:f>IF($A7&lt;&gt;"Y",0,$O7+$P7)</x:f>
        <x:v>0</x:v>
      </x:c>
      <x:c r="R7" s="34" t="str"/>
      <x:c r="S7" s="34" t="str"/>
      <x:c r="T7" s="34" t="str"/>
      <x:c r="U7" s="34" t="str">
        <x:v>Set Active=Y to add this segment.</x:v>
      </x:c>
    </x:row>
    <x:row r="8">
      <x:c r="A8" s="28" t="str"/>
      <x:c r="B8" s="28" t="str">
        <x:f>IF($A8="Y","PIPE-1-Seg-"&amp;ROW()-4,"")</x:f>
      </x:c>
      <x:c r="C8" s="25"/>
      <x:c r="D8" s="25"/>
      <x:c r="E8" s="25" t="n">
        <x:v>0.045</x:v>
      </x:c>
      <x:c r="F8" s="25" t="n">
        <x:v>0</x:v>
      </x:c>
      <x:c r="G8" s="25" t="n">
        <x:v>0</x:v>
      </x:c>
      <x:c r="H8" s="25" t="n">
        <x:v>0</x:v>
      </x:c>
      <x:c r="I8" s="29" t="n">
        <x:f>IF($A8&lt;&gt;"Y",0,IF($H8&gt;0,$H8,$F8*$G8))</x:f>
        <x:v>0</x:v>
      </x:c>
      <x:c r="J8" s="29" t="n">
        <x:f>IF(OR($A8&lt;&gt;"Y",$D8&lt;=0),0,PI()*($D8/1000)^2/4)</x:f>
        <x:v>0</x:v>
      </x:c>
      <x:c r="K8" s="29" t="n">
        <x:f>IF($J8=0,0,Inputs!$B$17/3600/$J8)</x:f>
        <x:v>0</x:v>
      </x:c>
      <x:c r="L8" s="29" t="n">
        <x:f>$K8^2/(2*Inputs!$B$8)</x:f>
        <x:v>0</x:v>
      </x:c>
      <x:c r="M8" s="33" t="n">
        <x:f>IF(OR($A8&lt;&gt;"Y",$D8&lt;=0),0,Inputs!$B$5*$K8*($D8/1000)/(Inputs!$B$6/1000))</x:f>
        <x:v>0</x:v>
      </x:c>
      <x:c r="N8" s="29" t="n">
        <x:f>IFERROR(IF($M8&lt;=0,0,IF($M8&lt;2300,64/$M8,0.25/(LOG10(($E8/1000)/(3.7*($D8/1000))+5.74/($M8^0.9)))^2)),0)</x:f>
        <x:v>0</x:v>
      </x:c>
      <x:c r="O8" s="29" t="n">
        <x:f>IF($A8&lt;&gt;"Y",0,$N8*$C8/($D8/1000)*$L8)</x:f>
        <x:v>0</x:v>
      </x:c>
      <x:c r="P8" s="29" t="n">
        <x:f>IF($A8&lt;&gt;"Y",0,$I8*$L8)</x:f>
        <x:v>0</x:v>
      </x:c>
      <x:c r="Q8" s="29" t="n">
        <x:f>IF($A8&lt;&gt;"Y",0,$O8+$P8)</x:f>
        <x:v>0</x:v>
      </x:c>
      <x:c r="R8" s="34" t="str"/>
      <x:c r="S8" s="34" t="str"/>
      <x:c r="T8" s="34" t="str"/>
      <x:c r="U8" s="34" t="str">
        <x:v>Set Active=Y to add this segment.</x:v>
      </x:c>
    </x:row>
    <x:row r="9">
      <x:c r="A9" s="28" t="str"/>
      <x:c r="B9" s="28" t="str">
        <x:f>IF($A9="Y","PIPE-1-Seg-"&amp;ROW()-4,"")</x:f>
      </x:c>
      <x:c r="C9" s="25"/>
      <x:c r="D9" s="25"/>
      <x:c r="E9" s="25" t="n">
        <x:v>0.045</x:v>
      </x:c>
      <x:c r="F9" s="25" t="n">
        <x:v>0</x:v>
      </x:c>
      <x:c r="G9" s="25" t="n">
        <x:v>0</x:v>
      </x:c>
      <x:c r="H9" s="25" t="n">
        <x:v>0</x:v>
      </x:c>
      <x:c r="I9" s="29" t="n">
        <x:f>IF($A9&lt;&gt;"Y",0,IF($H9&gt;0,$H9,$F9*$G9))</x:f>
        <x:v>0</x:v>
      </x:c>
      <x:c r="J9" s="29" t="n">
        <x:f>IF(OR($A9&lt;&gt;"Y",$D9&lt;=0),0,PI()*($D9/1000)^2/4)</x:f>
        <x:v>0</x:v>
      </x:c>
      <x:c r="K9" s="29" t="n">
        <x:f>IF($J9=0,0,Inputs!$B$17/3600/$J9)</x:f>
        <x:v>0</x:v>
      </x:c>
      <x:c r="L9" s="29" t="n">
        <x:f>$K9^2/(2*Inputs!$B$8)</x:f>
        <x:v>0</x:v>
      </x:c>
      <x:c r="M9" s="33" t="n">
        <x:f>IF(OR($A9&lt;&gt;"Y",$D9&lt;=0),0,Inputs!$B$5*$K9*($D9/1000)/(Inputs!$B$6/1000))</x:f>
        <x:v>0</x:v>
      </x:c>
      <x:c r="N9" s="29" t="n">
        <x:f>IFERROR(IF($M9&lt;=0,0,IF($M9&lt;2300,64/$M9,0.25/(LOG10(($E9/1000)/(3.7*($D9/1000))+5.74/($M9^0.9)))^2)),0)</x:f>
        <x:v>0</x:v>
      </x:c>
      <x:c r="O9" s="29" t="n">
        <x:f>IF($A9&lt;&gt;"Y",0,$N9*$C9/($D9/1000)*$L9)</x:f>
        <x:v>0</x:v>
      </x:c>
      <x:c r="P9" s="29" t="n">
        <x:f>IF($A9&lt;&gt;"Y",0,$I9*$L9)</x:f>
        <x:v>0</x:v>
      </x:c>
      <x:c r="Q9" s="29" t="n">
        <x:f>IF($A9&lt;&gt;"Y",0,$O9+$P9)</x:f>
        <x:v>0</x:v>
      </x:c>
      <x:c r="R9" s="34" t="str"/>
      <x:c r="S9" s="34" t="str"/>
      <x:c r="T9" s="34" t="str"/>
      <x:c r="U9" s="34" t="str">
        <x:v>Set Active=Y to add this segment.</x:v>
      </x:c>
    </x:row>
    <x:row r="10">
      <x:c r="A10" s="28" t="str"/>
      <x:c r="B10" s="28" t="str">
        <x:f>IF($A10="Y","PIPE-1-Seg-"&amp;ROW()-4,"")</x:f>
      </x:c>
      <x:c r="C10" s="25"/>
      <x:c r="D10" s="25"/>
      <x:c r="E10" s="25" t="n">
        <x:v>0.045</x:v>
      </x:c>
      <x:c r="F10" s="25" t="n">
        <x:v>0</x:v>
      </x:c>
      <x:c r="G10" s="25" t="n">
        <x:v>0</x:v>
      </x:c>
      <x:c r="H10" s="25" t="n">
        <x:v>0</x:v>
      </x:c>
      <x:c r="I10" s="29" t="n">
        <x:f>IF($A10&lt;&gt;"Y",0,IF($H10&gt;0,$H10,$F10*$G10))</x:f>
        <x:v>0</x:v>
      </x:c>
      <x:c r="J10" s="29" t="n">
        <x:f>IF(OR($A10&lt;&gt;"Y",$D10&lt;=0),0,PI()*($D10/1000)^2/4)</x:f>
        <x:v>0</x:v>
      </x:c>
      <x:c r="K10" s="29" t="n">
        <x:f>IF($J10=0,0,Inputs!$B$17/3600/$J10)</x:f>
        <x:v>0</x:v>
      </x:c>
      <x:c r="L10" s="29" t="n">
        <x:f>$K10^2/(2*Inputs!$B$8)</x:f>
        <x:v>0</x:v>
      </x:c>
      <x:c r="M10" s="33" t="n">
        <x:f>IF(OR($A10&lt;&gt;"Y",$D10&lt;=0),0,Inputs!$B$5*$K10*($D10/1000)/(Inputs!$B$6/1000))</x:f>
        <x:v>0</x:v>
      </x:c>
      <x:c r="N10" s="29" t="n">
        <x:f>IFERROR(IF($M10&lt;=0,0,IF($M10&lt;2300,64/$M10,0.25/(LOG10(($E10/1000)/(3.7*($D10/1000))+5.74/($M10^0.9)))^2)),0)</x:f>
        <x:v>0</x:v>
      </x:c>
      <x:c r="O10" s="29" t="n">
        <x:f>IF($A10&lt;&gt;"Y",0,$N10*$C10/($D10/1000)*$L10)</x:f>
        <x:v>0</x:v>
      </x:c>
      <x:c r="P10" s="29" t="n">
        <x:f>IF($A10&lt;&gt;"Y",0,$I10*$L10)</x:f>
        <x:v>0</x:v>
      </x:c>
      <x:c r="Q10" s="29" t="n">
        <x:f>IF($A10&lt;&gt;"Y",0,$O10+$P10)</x:f>
        <x:v>0</x:v>
      </x:c>
      <x:c r="R10" s="34" t="str"/>
      <x:c r="S10" s="34" t="str"/>
      <x:c r="T10" s="34" t="str"/>
      <x:c r="U10" s="34" t="str">
        <x:v>Set Active=Y to add this segment.</x:v>
      </x:c>
    </x:row>
    <x:row r="11">
      <x:c r="A11" s="28" t="str"/>
      <x:c r="B11" s="28" t="str">
        <x:f>IF($A11="Y","PIPE-1-Seg-"&amp;ROW()-4,"")</x:f>
      </x:c>
      <x:c r="C11" s="25"/>
      <x:c r="D11" s="25"/>
      <x:c r="E11" s="25" t="n">
        <x:v>0.045</x:v>
      </x:c>
      <x:c r="F11" s="25" t="n">
        <x:v>0</x:v>
      </x:c>
      <x:c r="G11" s="25" t="n">
        <x:v>0</x:v>
      </x:c>
      <x:c r="H11" s="25" t="n">
        <x:v>0</x:v>
      </x:c>
      <x:c r="I11" s="29" t="n">
        <x:f>IF($A11&lt;&gt;"Y",0,IF($H11&gt;0,$H11,$F11*$G11))</x:f>
        <x:v>0</x:v>
      </x:c>
      <x:c r="J11" s="29" t="n">
        <x:f>IF(OR($A11&lt;&gt;"Y",$D11&lt;=0),0,PI()*($D11/1000)^2/4)</x:f>
        <x:v>0</x:v>
      </x:c>
      <x:c r="K11" s="29" t="n">
        <x:f>IF($J11=0,0,Inputs!$B$17/3600/$J11)</x:f>
        <x:v>0</x:v>
      </x:c>
      <x:c r="L11" s="29" t="n">
        <x:f>$K11^2/(2*Inputs!$B$8)</x:f>
        <x:v>0</x:v>
      </x:c>
      <x:c r="M11" s="33" t="n">
        <x:f>IF(OR($A11&lt;&gt;"Y",$D11&lt;=0),0,Inputs!$B$5*$K11*($D11/1000)/(Inputs!$B$6/1000))</x:f>
        <x:v>0</x:v>
      </x:c>
      <x:c r="N11" s="29" t="n">
        <x:f>IFERROR(IF($M11&lt;=0,0,IF($M11&lt;2300,64/$M11,0.25/(LOG10(($E11/1000)/(3.7*($D11/1000))+5.74/($M11^0.9)))^2)),0)</x:f>
        <x:v>0</x:v>
      </x:c>
      <x:c r="O11" s="29" t="n">
        <x:f>IF($A11&lt;&gt;"Y",0,$N11*$C11/($D11/1000)*$L11)</x:f>
        <x:v>0</x:v>
      </x:c>
      <x:c r="P11" s="29" t="n">
        <x:f>IF($A11&lt;&gt;"Y",0,$I11*$L11)</x:f>
        <x:v>0</x:v>
      </x:c>
      <x:c r="Q11" s="29" t="n">
        <x:f>IF($A11&lt;&gt;"Y",0,$O11+$P11)</x:f>
        <x:v>0</x:v>
      </x:c>
      <x:c r="R11" s="34" t="str"/>
      <x:c r="S11" s="34" t="str"/>
      <x:c r="T11" s="34" t="str"/>
      <x:c r="U11" s="34" t="str">
        <x:v>Set Active=Y to add this segment.</x:v>
      </x:c>
    </x:row>
    <x:row r="12">
      <x:c r="A12" s="28" t="str"/>
      <x:c r="B12" s="28" t="str">
        <x:f>IF($A12="Y","PIPE-1-Seg-"&amp;ROW()-4,"")</x:f>
      </x:c>
      <x:c r="C12" s="25"/>
      <x:c r="D12" s="25"/>
      <x:c r="E12" s="25" t="n">
        <x:v>0.045</x:v>
      </x:c>
      <x:c r="F12" s="25" t="n">
        <x:v>0</x:v>
      </x:c>
      <x:c r="G12" s="25" t="n">
        <x:v>0</x:v>
      </x:c>
      <x:c r="H12" s="25" t="n">
        <x:v>0</x:v>
      </x:c>
      <x:c r="I12" s="29" t="n">
        <x:f>IF($A12&lt;&gt;"Y",0,IF($H12&gt;0,$H12,$F12*$G12))</x:f>
        <x:v>0</x:v>
      </x:c>
      <x:c r="J12" s="29" t="n">
        <x:f>IF(OR($A12&lt;&gt;"Y",$D12&lt;=0),0,PI()*($D12/1000)^2/4)</x:f>
        <x:v>0</x:v>
      </x:c>
      <x:c r="K12" s="29" t="n">
        <x:f>IF($J12=0,0,Inputs!$B$17/3600/$J12)</x:f>
        <x:v>0</x:v>
      </x:c>
      <x:c r="L12" s="29" t="n">
        <x:f>$K12^2/(2*Inputs!$B$8)</x:f>
        <x:v>0</x:v>
      </x:c>
      <x:c r="M12" s="33" t="n">
        <x:f>IF(OR($A12&lt;&gt;"Y",$D12&lt;=0),0,Inputs!$B$5*$K12*($D12/1000)/(Inputs!$B$6/1000))</x:f>
        <x:v>0</x:v>
      </x:c>
      <x:c r="N12" s="29" t="n">
        <x:f>IFERROR(IF($M12&lt;=0,0,IF($M12&lt;2300,64/$M12,0.25/(LOG10(($E12/1000)/(3.7*($D12/1000))+5.74/($M12^0.9)))^2)),0)</x:f>
        <x:v>0</x:v>
      </x:c>
      <x:c r="O12" s="29" t="n">
        <x:f>IF($A12&lt;&gt;"Y",0,$N12*$C12/($D12/1000)*$L12)</x:f>
        <x:v>0</x:v>
      </x:c>
      <x:c r="P12" s="29" t="n">
        <x:f>IF($A12&lt;&gt;"Y",0,$I12*$L12)</x:f>
        <x:v>0</x:v>
      </x:c>
      <x:c r="Q12" s="29" t="n">
        <x:f>IF($A12&lt;&gt;"Y",0,$O12+$P12)</x:f>
        <x:v>0</x:v>
      </x:c>
      <x:c r="R12" s="34" t="str"/>
      <x:c r="S12" s="34" t="str"/>
      <x:c r="T12" s="34" t="str"/>
      <x:c r="U12" s="34" t="str">
        <x:v>Set Active=Y to add this segment.</x:v>
      </x:c>
    </x:row>
    <x:row r="13">
      <x:c r="A13" s="28" t="str"/>
      <x:c r="B13" s="28" t="str">
        <x:f>IF($A13="Y","PIPE-1-Seg-"&amp;ROW()-4,"")</x:f>
      </x:c>
      <x:c r="C13" s="25"/>
      <x:c r="D13" s="25"/>
      <x:c r="E13" s="25" t="n">
        <x:v>0.045</x:v>
      </x:c>
      <x:c r="F13" s="25" t="n">
        <x:v>0</x:v>
      </x:c>
      <x:c r="G13" s="25" t="n">
        <x:v>0</x:v>
      </x:c>
      <x:c r="H13" s="25" t="n">
        <x:v>0</x:v>
      </x:c>
      <x:c r="I13" s="29" t="n">
        <x:f>IF($A13&lt;&gt;"Y",0,IF($H13&gt;0,$H13,$F13*$G13))</x:f>
        <x:v>0</x:v>
      </x:c>
      <x:c r="J13" s="29" t="n">
        <x:f>IF(OR($A13&lt;&gt;"Y",$D13&lt;=0),0,PI()*($D13/1000)^2/4)</x:f>
        <x:v>0</x:v>
      </x:c>
      <x:c r="K13" s="29" t="n">
        <x:f>IF($J13=0,0,Inputs!$B$17/3600/$J13)</x:f>
        <x:v>0</x:v>
      </x:c>
      <x:c r="L13" s="29" t="n">
        <x:f>$K13^2/(2*Inputs!$B$8)</x:f>
        <x:v>0</x:v>
      </x:c>
      <x:c r="M13" s="33" t="n">
        <x:f>IF(OR($A13&lt;&gt;"Y",$D13&lt;=0),0,Inputs!$B$5*$K13*($D13/1000)/(Inputs!$B$6/1000))</x:f>
        <x:v>0</x:v>
      </x:c>
      <x:c r="N13" s="29" t="n">
        <x:f>IFERROR(IF($M13&lt;=0,0,IF($M13&lt;2300,64/$M13,0.25/(LOG10(($E13/1000)/(3.7*($D13/1000))+5.74/($M13^0.9)))^2)),0)</x:f>
        <x:v>0</x:v>
      </x:c>
      <x:c r="O13" s="29" t="n">
        <x:f>IF($A13&lt;&gt;"Y",0,$N13*$C13/($D13/1000)*$L13)</x:f>
        <x:v>0</x:v>
      </x:c>
      <x:c r="P13" s="29" t="n">
        <x:f>IF($A13&lt;&gt;"Y",0,$I13*$L13)</x:f>
        <x:v>0</x:v>
      </x:c>
      <x:c r="Q13" s="29" t="n">
        <x:f>IF($A13&lt;&gt;"Y",0,$O13+$P13)</x:f>
        <x:v>0</x:v>
      </x:c>
      <x:c r="R13" s="34" t="str"/>
      <x:c r="S13" s="34" t="str"/>
      <x:c r="T13" s="34" t="str"/>
      <x:c r="U13" s="34" t="str">
        <x:v>Set Active=Y to add this segment.</x:v>
      </x:c>
    </x:row>
    <x:row r="14">
      <x:c r="A14" s="28" t="str"/>
      <x:c r="B14" s="28" t="str">
        <x:f>IF($A14="Y","PIPE-1-Seg-"&amp;ROW()-4,"")</x:f>
      </x:c>
      <x:c r="C14" s="25"/>
      <x:c r="D14" s="25"/>
      <x:c r="E14" s="25" t="n">
        <x:v>0.045</x:v>
      </x:c>
      <x:c r="F14" s="25" t="n">
        <x:v>0</x:v>
      </x:c>
      <x:c r="G14" s="25" t="n">
        <x:v>0</x:v>
      </x:c>
      <x:c r="H14" s="25" t="n">
        <x:v>0</x:v>
      </x:c>
      <x:c r="I14" s="29" t="n">
        <x:f>IF($A14&lt;&gt;"Y",0,IF($H14&gt;0,$H14,$F14*$G14))</x:f>
        <x:v>0</x:v>
      </x:c>
      <x:c r="J14" s="29" t="n">
        <x:f>IF(OR($A14&lt;&gt;"Y",$D14&lt;=0),0,PI()*($D14/1000)^2/4)</x:f>
        <x:v>0</x:v>
      </x:c>
      <x:c r="K14" s="29" t="n">
        <x:f>IF($J14=0,0,Inputs!$B$17/3600/$J14)</x:f>
        <x:v>0</x:v>
      </x:c>
      <x:c r="L14" s="29" t="n">
        <x:f>$K14^2/(2*Inputs!$B$8)</x:f>
        <x:v>0</x:v>
      </x:c>
      <x:c r="M14" s="33" t="n">
        <x:f>IF(OR($A14&lt;&gt;"Y",$D14&lt;=0),0,Inputs!$B$5*$K14*($D14/1000)/(Inputs!$B$6/1000))</x:f>
        <x:v>0</x:v>
      </x:c>
      <x:c r="N14" s="29" t="n">
        <x:f>IFERROR(IF($M14&lt;=0,0,IF($M14&lt;2300,64/$M14,0.25/(LOG10(($E14/1000)/(3.7*($D14/1000))+5.74/($M14^0.9)))^2)),0)</x:f>
        <x:v>0</x:v>
      </x:c>
      <x:c r="O14" s="29" t="n">
        <x:f>IF($A14&lt;&gt;"Y",0,$N14*$C14/($D14/1000)*$L14)</x:f>
        <x:v>0</x:v>
      </x:c>
      <x:c r="P14" s="29" t="n">
        <x:f>IF($A14&lt;&gt;"Y",0,$I14*$L14)</x:f>
        <x:v>0</x:v>
      </x:c>
      <x:c r="Q14" s="29" t="n">
        <x:f>IF($A14&lt;&gt;"Y",0,$O14+$P14)</x:f>
        <x:v>0</x:v>
      </x:c>
      <x:c r="R14" s="34" t="str"/>
      <x:c r="S14" s="34" t="str"/>
      <x:c r="T14" s="34" t="str"/>
      <x:c r="U14" s="34" t="str">
        <x:v>Set Active=Y to add this segment.</x:v>
      </x:c>
    </x:row>
    <x:row r="15">
      <x:c r="A15" s="28" t="str"/>
      <x:c r="B15" s="28" t="str">
        <x:f>IF($A15="Y","PIPE-1-Seg-"&amp;ROW()-4,"")</x:f>
      </x:c>
      <x:c r="C15" s="25"/>
      <x:c r="D15" s="25"/>
      <x:c r="E15" s="25" t="n">
        <x:v>0.045</x:v>
      </x:c>
      <x:c r="F15" s="25" t="n">
        <x:v>0</x:v>
      </x:c>
      <x:c r="G15" s="25" t="n">
        <x:v>0</x:v>
      </x:c>
      <x:c r="H15" s="25" t="n">
        <x:v>0</x:v>
      </x:c>
      <x:c r="I15" s="29" t="n">
        <x:f>IF($A15&lt;&gt;"Y",0,IF($H15&gt;0,$H15,$F15*$G15))</x:f>
        <x:v>0</x:v>
      </x:c>
      <x:c r="J15" s="29" t="n">
        <x:f>IF(OR($A15&lt;&gt;"Y",$D15&lt;=0),0,PI()*($D15/1000)^2/4)</x:f>
        <x:v>0</x:v>
      </x:c>
      <x:c r="K15" s="29" t="n">
        <x:f>IF($J15=0,0,Inputs!$B$17/3600/$J15)</x:f>
        <x:v>0</x:v>
      </x:c>
      <x:c r="L15" s="29" t="n">
        <x:f>$K15^2/(2*Inputs!$B$8)</x:f>
        <x:v>0</x:v>
      </x:c>
      <x:c r="M15" s="33" t="n">
        <x:f>IF(OR($A15&lt;&gt;"Y",$D15&lt;=0),0,Inputs!$B$5*$K15*($D15/1000)/(Inputs!$B$6/1000))</x:f>
        <x:v>0</x:v>
      </x:c>
      <x:c r="N15" s="29" t="n">
        <x:f>IFERROR(IF($M15&lt;=0,0,IF($M15&lt;2300,64/$M15,0.25/(LOG10(($E15/1000)/(3.7*($D15/1000))+5.74/($M15^0.9)))^2)),0)</x:f>
        <x:v>0</x:v>
      </x:c>
      <x:c r="O15" s="29" t="n">
        <x:f>IF($A15&lt;&gt;"Y",0,$N15*$C15/($D15/1000)*$L15)</x:f>
        <x:v>0</x:v>
      </x:c>
      <x:c r="P15" s="29" t="n">
        <x:f>IF($A15&lt;&gt;"Y",0,$I15*$L15)</x:f>
        <x:v>0</x:v>
      </x:c>
      <x:c r="Q15" s="29" t="n">
        <x:f>IF($A15&lt;&gt;"Y",0,$O15+$P15)</x:f>
        <x:v>0</x:v>
      </x:c>
      <x:c r="R15" s="34" t="str"/>
      <x:c r="S15" s="34" t="str"/>
      <x:c r="T15" s="34" t="str"/>
      <x:c r="U15" s="34" t="str">
        <x:v>Set Active=Y to add this segment.</x:v>
      </x:c>
    </x:row>
    <x:row r="16">
      <x:c r="A16" s="28" t="str"/>
      <x:c r="B16" s="28" t="str">
        <x:f>IF($A16="Y","PIPE-1-Seg-"&amp;ROW()-4,"")</x:f>
      </x:c>
      <x:c r="C16" s="25"/>
      <x:c r="D16" s="25"/>
      <x:c r="E16" s="25" t="n">
        <x:v>0.045</x:v>
      </x:c>
      <x:c r="F16" s="25" t="n">
        <x:v>0</x:v>
      </x:c>
      <x:c r="G16" s="25" t="n">
        <x:v>0</x:v>
      </x:c>
      <x:c r="H16" s="25" t="n">
        <x:v>0</x:v>
      </x:c>
      <x:c r="I16" s="29" t="n">
        <x:f>IF($A16&lt;&gt;"Y",0,IF($H16&gt;0,$H16,$F16*$G16))</x:f>
        <x:v>0</x:v>
      </x:c>
      <x:c r="J16" s="29" t="n">
        <x:f>IF(OR($A16&lt;&gt;"Y",$D16&lt;=0),0,PI()*($D16/1000)^2/4)</x:f>
        <x:v>0</x:v>
      </x:c>
      <x:c r="K16" s="29" t="n">
        <x:f>IF($J16=0,0,Inputs!$B$17/3600/$J16)</x:f>
        <x:v>0</x:v>
      </x:c>
      <x:c r="L16" s="29" t="n">
        <x:f>$K16^2/(2*Inputs!$B$8)</x:f>
        <x:v>0</x:v>
      </x:c>
      <x:c r="M16" s="33" t="n">
        <x:f>IF(OR($A16&lt;&gt;"Y",$D16&lt;=0),0,Inputs!$B$5*$K16*($D16/1000)/(Inputs!$B$6/1000))</x:f>
        <x:v>0</x:v>
      </x:c>
      <x:c r="N16" s="29" t="n">
        <x:f>IFERROR(IF($M16&lt;=0,0,IF($M16&lt;2300,64/$M16,0.25/(LOG10(($E16/1000)/(3.7*($D16/1000))+5.74/($M16^0.9)))^2)),0)</x:f>
        <x:v>0</x:v>
      </x:c>
      <x:c r="O16" s="29" t="n">
        <x:f>IF($A16&lt;&gt;"Y",0,$N16*$C16/($D16/1000)*$L16)</x:f>
        <x:v>0</x:v>
      </x:c>
      <x:c r="P16" s="29" t="n">
        <x:f>IF($A16&lt;&gt;"Y",0,$I16*$L16)</x:f>
        <x:v>0</x:v>
      </x:c>
      <x:c r="Q16" s="29" t="n">
        <x:f>IF($A16&lt;&gt;"Y",0,$O16+$P16)</x:f>
        <x:v>0</x:v>
      </x:c>
      <x:c r="R16" s="34" t="str"/>
      <x:c r="S16" s="34" t="str"/>
      <x:c r="T16" s="34" t="str"/>
      <x:c r="U16" s="34" t="str">
        <x:v>Set Active=Y to add this segment.</x:v>
      </x:c>
    </x:row>
    <x:row r="17">
      <x:c r="A17" s="28" t="str"/>
      <x:c r="B17" s="28" t="str">
        <x:f>IF($A17="Y","PIPE-1-Seg-"&amp;ROW()-4,"")</x:f>
      </x:c>
      <x:c r="C17" s="25"/>
      <x:c r="D17" s="25"/>
      <x:c r="E17" s="25" t="n">
        <x:v>0.045</x:v>
      </x:c>
      <x:c r="F17" s="25" t="n">
        <x:v>0</x:v>
      </x:c>
      <x:c r="G17" s="25" t="n">
        <x:v>0</x:v>
      </x:c>
      <x:c r="H17" s="25" t="n">
        <x:v>0</x:v>
      </x:c>
      <x:c r="I17" s="29" t="n">
        <x:f>IF($A17&lt;&gt;"Y",0,IF($H17&gt;0,$H17,$F17*$G17))</x:f>
        <x:v>0</x:v>
      </x:c>
      <x:c r="J17" s="29" t="n">
        <x:f>IF(OR($A17&lt;&gt;"Y",$D17&lt;=0),0,PI()*($D17/1000)^2/4)</x:f>
        <x:v>0</x:v>
      </x:c>
      <x:c r="K17" s="29" t="n">
        <x:f>IF($J17=0,0,Inputs!$B$17/3600/$J17)</x:f>
        <x:v>0</x:v>
      </x:c>
      <x:c r="L17" s="29" t="n">
        <x:f>$K17^2/(2*Inputs!$B$8)</x:f>
        <x:v>0</x:v>
      </x:c>
      <x:c r="M17" s="33" t="n">
        <x:f>IF(OR($A17&lt;&gt;"Y",$D17&lt;=0),0,Inputs!$B$5*$K17*($D17/1000)/(Inputs!$B$6/1000))</x:f>
        <x:v>0</x:v>
      </x:c>
      <x:c r="N17" s="29" t="n">
        <x:f>IFERROR(IF($M17&lt;=0,0,IF($M17&lt;2300,64/$M17,0.25/(LOG10(($E17/1000)/(3.7*($D17/1000))+5.74/($M17^0.9)))^2)),0)</x:f>
        <x:v>0</x:v>
      </x:c>
      <x:c r="O17" s="29" t="n">
        <x:f>IF($A17&lt;&gt;"Y",0,$N17*$C17/($D17/1000)*$L17)</x:f>
        <x:v>0</x:v>
      </x:c>
      <x:c r="P17" s="29" t="n">
        <x:f>IF($A17&lt;&gt;"Y",0,$I17*$L17)</x:f>
        <x:v>0</x:v>
      </x:c>
      <x:c r="Q17" s="29" t="n">
        <x:f>IF($A17&lt;&gt;"Y",0,$O17+$P17)</x:f>
        <x:v>0</x:v>
      </x:c>
      <x:c r="R17" s="34" t="str"/>
      <x:c r="S17" s="34" t="str"/>
      <x:c r="T17" s="34" t="str"/>
      <x:c r="U17" s="34" t="str">
        <x:v>Set Active=Y to add this segment.</x:v>
      </x:c>
    </x:row>
    <x:row r="18">
      <x:c r="A18" s="28" t="str"/>
      <x:c r="B18" s="28" t="str">
        <x:f>IF($A18="Y","PIPE-1-Seg-"&amp;ROW()-4,"")</x:f>
      </x:c>
      <x:c r="C18" s="25"/>
      <x:c r="D18" s="25"/>
      <x:c r="E18" s="25" t="n">
        <x:v>0.045</x:v>
      </x:c>
      <x:c r="F18" s="25" t="n">
        <x:v>0</x:v>
      </x:c>
      <x:c r="G18" s="25" t="n">
        <x:v>0</x:v>
      </x:c>
      <x:c r="H18" s="25" t="n">
        <x:v>0</x:v>
      </x:c>
      <x:c r="I18" s="29" t="n">
        <x:f>IF($A18&lt;&gt;"Y",0,IF($H18&gt;0,$H18,$F18*$G18))</x:f>
        <x:v>0</x:v>
      </x:c>
      <x:c r="J18" s="29" t="n">
        <x:f>IF(OR($A18&lt;&gt;"Y",$D18&lt;=0),0,PI()*($D18/1000)^2/4)</x:f>
        <x:v>0</x:v>
      </x:c>
      <x:c r="K18" s="29" t="n">
        <x:f>IF($J18=0,0,Inputs!$B$17/3600/$J18)</x:f>
        <x:v>0</x:v>
      </x:c>
      <x:c r="L18" s="29" t="n">
        <x:f>$K18^2/(2*Inputs!$B$8)</x:f>
        <x:v>0</x:v>
      </x:c>
      <x:c r="M18" s="33" t="n">
        <x:f>IF(OR($A18&lt;&gt;"Y",$D18&lt;=0),0,Inputs!$B$5*$K18*($D18/1000)/(Inputs!$B$6/1000))</x:f>
        <x:v>0</x:v>
      </x:c>
      <x:c r="N18" s="29" t="n">
        <x:f>IFERROR(IF($M18&lt;=0,0,IF($M18&lt;2300,64/$M18,0.25/(LOG10(($E18/1000)/(3.7*($D18/1000))+5.74/($M18^0.9)))^2)),0)</x:f>
        <x:v>0</x:v>
      </x:c>
      <x:c r="O18" s="29" t="n">
        <x:f>IF($A18&lt;&gt;"Y",0,$N18*$C18/($D18/1000)*$L18)</x:f>
        <x:v>0</x:v>
      </x:c>
      <x:c r="P18" s="29" t="n">
        <x:f>IF($A18&lt;&gt;"Y",0,$I18*$L18)</x:f>
        <x:v>0</x:v>
      </x:c>
      <x:c r="Q18" s="29" t="n">
        <x:f>IF($A18&lt;&gt;"Y",0,$O18+$P18)</x:f>
        <x:v>0</x:v>
      </x:c>
      <x:c r="R18" s="34" t="str"/>
      <x:c r="S18" s="34" t="str"/>
      <x:c r="T18" s="34" t="str"/>
      <x:c r="U18" s="34" t="str">
        <x:v>Set Active=Y to add this segment.</x:v>
      </x:c>
    </x:row>
    <x:row r="19">
      <x:c r="A19" s="28" t="str"/>
      <x:c r="B19" s="28" t="str">
        <x:f>IF($A19="Y","PIPE-1-Seg-"&amp;ROW()-4,"")</x:f>
      </x:c>
      <x:c r="C19" s="25"/>
      <x:c r="D19" s="25"/>
      <x:c r="E19" s="25" t="n">
        <x:v>0.045</x:v>
      </x:c>
      <x:c r="F19" s="25" t="n">
        <x:v>0</x:v>
      </x:c>
      <x:c r="G19" s="25" t="n">
        <x:v>0</x:v>
      </x:c>
      <x:c r="H19" s="25" t="n">
        <x:v>0</x:v>
      </x:c>
      <x:c r="I19" s="29" t="n">
        <x:f>IF($A19&lt;&gt;"Y",0,IF($H19&gt;0,$H19,$F19*$G19))</x:f>
        <x:v>0</x:v>
      </x:c>
      <x:c r="J19" s="29" t="n">
        <x:f>IF(OR($A19&lt;&gt;"Y",$D19&lt;=0),0,PI()*($D19/1000)^2/4)</x:f>
        <x:v>0</x:v>
      </x:c>
      <x:c r="K19" s="29" t="n">
        <x:f>IF($J19=0,0,Inputs!$B$17/3600/$J19)</x:f>
        <x:v>0</x:v>
      </x:c>
      <x:c r="L19" s="29" t="n">
        <x:f>$K19^2/(2*Inputs!$B$8)</x:f>
        <x:v>0</x:v>
      </x:c>
      <x:c r="M19" s="33" t="n">
        <x:f>IF(OR($A19&lt;&gt;"Y",$D19&lt;=0),0,Inputs!$B$5*$K19*($D19/1000)/(Inputs!$B$6/1000))</x:f>
        <x:v>0</x:v>
      </x:c>
      <x:c r="N19" s="29" t="n">
        <x:f>IFERROR(IF($M19&lt;=0,0,IF($M19&lt;2300,64/$M19,0.25/(LOG10(($E19/1000)/(3.7*($D19/1000))+5.74/($M19^0.9)))^2)),0)</x:f>
        <x:v>0</x:v>
      </x:c>
      <x:c r="O19" s="29" t="n">
        <x:f>IF($A19&lt;&gt;"Y",0,$N19*$C19/($D19/1000)*$L19)</x:f>
        <x:v>0</x:v>
      </x:c>
      <x:c r="P19" s="29" t="n">
        <x:f>IF($A19&lt;&gt;"Y",0,$I19*$L19)</x:f>
        <x:v>0</x:v>
      </x:c>
      <x:c r="Q19" s="29" t="n">
        <x:f>IF($A19&lt;&gt;"Y",0,$O19+$P19)</x:f>
        <x:v>0</x:v>
      </x:c>
      <x:c r="R19" s="34" t="str"/>
      <x:c r="S19" s="34" t="str"/>
      <x:c r="T19" s="34" t="str"/>
      <x:c r="U19" s="34" t="str">
        <x:v>Set Active=Y to add this segment.</x:v>
      </x:c>
    </x:row>
    <x:row r="20">
      <x:c r="A20" s="28" t="str"/>
      <x:c r="B20" s="28" t="str">
        <x:f>IF($A20="Y","PIPE-1-Seg-"&amp;ROW()-4,"")</x:f>
      </x:c>
      <x:c r="C20" s="25"/>
      <x:c r="D20" s="25"/>
      <x:c r="E20" s="25" t="n">
        <x:v>0.045</x:v>
      </x:c>
      <x:c r="F20" s="25" t="n">
        <x:v>0</x:v>
      </x:c>
      <x:c r="G20" s="25" t="n">
        <x:v>0</x:v>
      </x:c>
      <x:c r="H20" s="25" t="n">
        <x:v>0</x:v>
      </x:c>
      <x:c r="I20" s="29" t="n">
        <x:f>IF($A20&lt;&gt;"Y",0,IF($H20&gt;0,$H20,$F20*$G20))</x:f>
        <x:v>0</x:v>
      </x:c>
      <x:c r="J20" s="29" t="n">
        <x:f>IF(OR($A20&lt;&gt;"Y",$D20&lt;=0),0,PI()*($D20/1000)^2/4)</x:f>
        <x:v>0</x:v>
      </x:c>
      <x:c r="K20" s="29" t="n">
        <x:f>IF($J20=0,0,Inputs!$B$17/3600/$J20)</x:f>
        <x:v>0</x:v>
      </x:c>
      <x:c r="L20" s="29" t="n">
        <x:f>$K20^2/(2*Inputs!$B$8)</x:f>
        <x:v>0</x:v>
      </x:c>
      <x:c r="M20" s="33" t="n">
        <x:f>IF(OR($A20&lt;&gt;"Y",$D20&lt;=0),0,Inputs!$B$5*$K20*($D20/1000)/(Inputs!$B$6/1000))</x:f>
        <x:v>0</x:v>
      </x:c>
      <x:c r="N20" s="29" t="n">
        <x:f>IFERROR(IF($M20&lt;=0,0,IF($M20&lt;2300,64/$M20,0.25/(LOG10(($E20/1000)/(3.7*($D20/1000))+5.74/($M20^0.9)))^2)),0)</x:f>
        <x:v>0</x:v>
      </x:c>
      <x:c r="O20" s="29" t="n">
        <x:f>IF($A20&lt;&gt;"Y",0,$N20*$C20/($D20/1000)*$L20)</x:f>
        <x:v>0</x:v>
      </x:c>
      <x:c r="P20" s="29" t="n">
        <x:f>IF($A20&lt;&gt;"Y",0,$I20*$L20)</x:f>
        <x:v>0</x:v>
      </x:c>
      <x:c r="Q20" s="29" t="n">
        <x:f>IF($A20&lt;&gt;"Y",0,$O20+$P20)</x:f>
        <x:v>0</x:v>
      </x:c>
      <x:c r="R20" s="34" t="str"/>
      <x:c r="S20" s="34" t="str"/>
      <x:c r="T20" s="34" t="str"/>
      <x:c r="U20" s="34" t="str">
        <x:v>Set Active=Y to add this segment.</x:v>
      </x:c>
    </x:row>
    <x:row r="21">
      <x:c r="A21" s="28" t="str"/>
      <x:c r="B21" s="28" t="str">
        <x:f>IF($A21="Y","PIPE-1-Seg-"&amp;ROW()-4,"")</x:f>
      </x:c>
      <x:c r="C21" s="25"/>
      <x:c r="D21" s="25"/>
      <x:c r="E21" s="25" t="n">
        <x:v>0.045</x:v>
      </x:c>
      <x:c r="F21" s="25" t="n">
        <x:v>0</x:v>
      </x:c>
      <x:c r="G21" s="25" t="n">
        <x:v>0</x:v>
      </x:c>
      <x:c r="H21" s="25" t="n">
        <x:v>0</x:v>
      </x:c>
      <x:c r="I21" s="29" t="n">
        <x:f>IF($A21&lt;&gt;"Y",0,IF($H21&gt;0,$H21,$F21*$G21))</x:f>
        <x:v>0</x:v>
      </x:c>
      <x:c r="J21" s="29" t="n">
        <x:f>IF(OR($A21&lt;&gt;"Y",$D21&lt;=0),0,PI()*($D21/1000)^2/4)</x:f>
        <x:v>0</x:v>
      </x:c>
      <x:c r="K21" s="29" t="n">
        <x:f>IF($J21=0,0,Inputs!$B$17/3600/$J21)</x:f>
        <x:v>0</x:v>
      </x:c>
      <x:c r="L21" s="29" t="n">
        <x:f>$K21^2/(2*Inputs!$B$8)</x:f>
        <x:v>0</x:v>
      </x:c>
      <x:c r="M21" s="33" t="n">
        <x:f>IF(OR($A21&lt;&gt;"Y",$D21&lt;=0),0,Inputs!$B$5*$K21*($D21/1000)/(Inputs!$B$6/1000))</x:f>
        <x:v>0</x:v>
      </x:c>
      <x:c r="N21" s="29" t="n">
        <x:f>IFERROR(IF($M21&lt;=0,0,IF($M21&lt;2300,64/$M21,0.25/(LOG10(($E21/1000)/(3.7*($D21/1000))+5.74/($M21^0.9)))^2)),0)</x:f>
        <x:v>0</x:v>
      </x:c>
      <x:c r="O21" s="29" t="n">
        <x:f>IF($A21&lt;&gt;"Y",0,$N21*$C21/($D21/1000)*$L21)</x:f>
        <x:v>0</x:v>
      </x:c>
      <x:c r="P21" s="29" t="n">
        <x:f>IF($A21&lt;&gt;"Y",0,$I21*$L21)</x:f>
        <x:v>0</x:v>
      </x:c>
      <x:c r="Q21" s="29" t="n">
        <x:f>IF($A21&lt;&gt;"Y",0,$O21+$P21)</x:f>
        <x:v>0</x:v>
      </x:c>
      <x:c r="R21" s="34" t="str"/>
      <x:c r="S21" s="34" t="str"/>
      <x:c r="T21" s="34" t="str"/>
      <x:c r="U21" s="34" t="str">
        <x:v>Set Active=Y to add this segment.</x:v>
      </x:c>
    </x:row>
    <x:row r="22">
      <x:c r="A22" s="28" t="str"/>
      <x:c r="B22" s="28" t="str">
        <x:f>IF($A22="Y","PIPE-1-Seg-"&amp;ROW()-4,"")</x:f>
      </x:c>
      <x:c r="C22" s="25"/>
      <x:c r="D22" s="25"/>
      <x:c r="E22" s="25" t="n">
        <x:v>0.045</x:v>
      </x:c>
      <x:c r="F22" s="25" t="n">
        <x:v>0</x:v>
      </x:c>
      <x:c r="G22" s="25" t="n">
        <x:v>0</x:v>
      </x:c>
      <x:c r="H22" s="25" t="n">
        <x:v>0</x:v>
      </x:c>
      <x:c r="I22" s="29" t="n">
        <x:f>IF($A22&lt;&gt;"Y",0,IF($H22&gt;0,$H22,$F22*$G22))</x:f>
        <x:v>0</x:v>
      </x:c>
      <x:c r="J22" s="29" t="n">
        <x:f>IF(OR($A22&lt;&gt;"Y",$D22&lt;=0),0,PI()*($D22/1000)^2/4)</x:f>
        <x:v>0</x:v>
      </x:c>
      <x:c r="K22" s="29" t="n">
        <x:f>IF($J22=0,0,Inputs!$B$17/3600/$J22)</x:f>
        <x:v>0</x:v>
      </x:c>
      <x:c r="L22" s="29" t="n">
        <x:f>$K22^2/(2*Inputs!$B$8)</x:f>
        <x:v>0</x:v>
      </x:c>
      <x:c r="M22" s="33" t="n">
        <x:f>IF(OR($A22&lt;&gt;"Y",$D22&lt;=0),0,Inputs!$B$5*$K22*($D22/1000)/(Inputs!$B$6/1000))</x:f>
        <x:v>0</x:v>
      </x:c>
      <x:c r="N22" s="29" t="n">
        <x:f>IFERROR(IF($M22&lt;=0,0,IF($M22&lt;2300,64/$M22,0.25/(LOG10(($E22/1000)/(3.7*($D22/1000))+5.74/($M22^0.9)))^2)),0)</x:f>
        <x:v>0</x:v>
      </x:c>
      <x:c r="O22" s="29" t="n">
        <x:f>IF($A22&lt;&gt;"Y",0,$N22*$C22/($D22/1000)*$L22)</x:f>
        <x:v>0</x:v>
      </x:c>
      <x:c r="P22" s="29" t="n">
        <x:f>IF($A22&lt;&gt;"Y",0,$I22*$L22)</x:f>
        <x:v>0</x:v>
      </x:c>
      <x:c r="Q22" s="29" t="n">
        <x:f>IF($A22&lt;&gt;"Y",0,$O22+$P22)</x:f>
        <x:v>0</x:v>
      </x:c>
      <x:c r="R22" s="34" t="str"/>
      <x:c r="S22" s="34" t="str"/>
      <x:c r="T22" s="34" t="str"/>
      <x:c r="U22" s="34" t="str">
        <x:v>Set Active=Y to add this segment.</x:v>
      </x:c>
    </x:row>
    <x:row r="23">
      <x:c r="A23" s="28" t="str"/>
      <x:c r="B23" s="28" t="str">
        <x:f>IF($A23="Y","PIPE-1-Seg-"&amp;ROW()-4,"")</x:f>
      </x:c>
      <x:c r="C23" s="25"/>
      <x:c r="D23" s="25"/>
      <x:c r="E23" s="25" t="n">
        <x:v>0.045</x:v>
      </x:c>
      <x:c r="F23" s="25" t="n">
        <x:v>0</x:v>
      </x:c>
      <x:c r="G23" s="25" t="n">
        <x:v>0</x:v>
      </x:c>
      <x:c r="H23" s="25" t="n">
        <x:v>0</x:v>
      </x:c>
      <x:c r="I23" s="29" t="n">
        <x:f>IF($A23&lt;&gt;"Y",0,IF($H23&gt;0,$H23,$F23*$G23))</x:f>
        <x:v>0</x:v>
      </x:c>
      <x:c r="J23" s="29" t="n">
        <x:f>IF(OR($A23&lt;&gt;"Y",$D23&lt;=0),0,PI()*($D23/1000)^2/4)</x:f>
        <x:v>0</x:v>
      </x:c>
      <x:c r="K23" s="29" t="n">
        <x:f>IF($J23=0,0,Inputs!$B$17/3600/$J23)</x:f>
        <x:v>0</x:v>
      </x:c>
      <x:c r="L23" s="29" t="n">
        <x:f>$K23^2/(2*Inputs!$B$8)</x:f>
        <x:v>0</x:v>
      </x:c>
      <x:c r="M23" s="33" t="n">
        <x:f>IF(OR($A23&lt;&gt;"Y",$D23&lt;=0),0,Inputs!$B$5*$K23*($D23/1000)/(Inputs!$B$6/1000))</x:f>
        <x:v>0</x:v>
      </x:c>
      <x:c r="N23" s="29" t="n">
        <x:f>IFERROR(IF($M23&lt;=0,0,IF($M23&lt;2300,64/$M23,0.25/(LOG10(($E23/1000)/(3.7*($D23/1000))+5.74/($M23^0.9)))^2)),0)</x:f>
        <x:v>0</x:v>
      </x:c>
      <x:c r="O23" s="29" t="n">
        <x:f>IF($A23&lt;&gt;"Y",0,$N23*$C23/($D23/1000)*$L23)</x:f>
        <x:v>0</x:v>
      </x:c>
      <x:c r="P23" s="29" t="n">
        <x:f>IF($A23&lt;&gt;"Y",0,$I23*$L23)</x:f>
        <x:v>0</x:v>
      </x:c>
      <x:c r="Q23" s="29" t="n">
        <x:f>IF($A23&lt;&gt;"Y",0,$O23+$P23)</x:f>
        <x:v>0</x:v>
      </x:c>
      <x:c r="R23" s="34" t="str"/>
      <x:c r="S23" s="34" t="str"/>
      <x:c r="T23" s="34" t="str"/>
      <x:c r="U23" s="34" t="str">
        <x:v>Set Active=Y to add this segment.</x:v>
      </x:c>
    </x:row>
    <x:row r="24">
      <x:c r="A24" s="28" t="str"/>
      <x:c r="B24" s="28" t="str">
        <x:f>IF($A24="Y","PIPE-1-Seg-"&amp;ROW()-4,"")</x:f>
      </x:c>
      <x:c r="C24" s="25"/>
      <x:c r="D24" s="25"/>
      <x:c r="E24" s="25" t="n">
        <x:v>0.045</x:v>
      </x:c>
      <x:c r="F24" s="25" t="n">
        <x:v>0</x:v>
      </x:c>
      <x:c r="G24" s="25" t="n">
        <x:v>0</x:v>
      </x:c>
      <x:c r="H24" s="25" t="n">
        <x:v>0</x:v>
      </x:c>
      <x:c r="I24" s="29" t="n">
        <x:f>IF($A24&lt;&gt;"Y",0,IF($H24&gt;0,$H24,$F24*$G24))</x:f>
        <x:v>0</x:v>
      </x:c>
      <x:c r="J24" s="29" t="n">
        <x:f>IF(OR($A24&lt;&gt;"Y",$D24&lt;=0),0,PI()*($D24/1000)^2/4)</x:f>
        <x:v>0</x:v>
      </x:c>
      <x:c r="K24" s="29" t="n">
        <x:f>IF($J24=0,0,Inputs!$B$17/3600/$J24)</x:f>
        <x:v>0</x:v>
      </x:c>
      <x:c r="L24" s="29" t="n">
        <x:f>$K24^2/(2*Inputs!$B$8)</x:f>
        <x:v>0</x:v>
      </x:c>
      <x:c r="M24" s="33" t="n">
        <x:f>IF(OR($A24&lt;&gt;"Y",$D24&lt;=0),0,Inputs!$B$5*$K24*($D24/1000)/(Inputs!$B$6/1000))</x:f>
        <x:v>0</x:v>
      </x:c>
      <x:c r="N24" s="29" t="n">
        <x:f>IFERROR(IF($M24&lt;=0,0,IF($M24&lt;2300,64/$M24,0.25/(LOG10(($E24/1000)/(3.7*($D24/1000))+5.74/($M24^0.9)))^2)),0)</x:f>
        <x:v>0</x:v>
      </x:c>
      <x:c r="O24" s="29" t="n">
        <x:f>IF($A24&lt;&gt;"Y",0,$N24*$C24/($D24/1000)*$L24)</x:f>
        <x:v>0</x:v>
      </x:c>
      <x:c r="P24" s="29" t="n">
        <x:f>IF($A24&lt;&gt;"Y",0,$I24*$L24)</x:f>
        <x:v>0</x:v>
      </x:c>
      <x:c r="Q24" s="29" t="n">
        <x:f>IF($A24&lt;&gt;"Y",0,$O24+$P24)</x:f>
        <x:v>0</x:v>
      </x:c>
      <x:c r="R24" s="34" t="str"/>
      <x:c r="S24" s="34" t="str"/>
      <x:c r="T24" s="34" t="str"/>
      <x:c r="U24" s="34" t="str">
        <x:v>Set Active=Y to add this segment.</x:v>
      </x:c>
    </x:row>
    <x:row r="27">
      <x:c r="A27" s="11" t="str">
        <x:v>Segment total</x:v>
      </x:c>
      <x:c r="B27" s="11" t="str"/>
      <x:c r="C27" s="11" t="str"/>
    </x:row>
    <x:row r="28">
      <x:c r="A28" s="17" t="str">
        <x:v>Active count</x:v>
      </x:c>
      <x:c r="B28" s="20" t="n">
        <x:f>COUNTIF(A5:A24,"Y")</x:f>
        <x:v>1</x:v>
      </x:c>
      <x:c r="C28" s="17" t="str">
        <x:v>segments</x:v>
      </x:c>
    </x:row>
    <x:row r="29">
      <x:c r="A29" s="17" t="str">
        <x:v>Total head loss</x:v>
      </x:c>
      <x:c r="B29" s="20" t="n">
        <x:f>SUM(Q5:Q24)</x:f>
        <x:v>0.013538712890454208</x:v>
      </x:c>
      <x:c r="C29" s="17" t="str">
        <x:v>m</x:v>
      </x:c>
    </x:row>
    <x:row r="30">
      <x:c r="A30" s="17" t="str">
        <x:v>Maximum velocity</x:v>
      </x:c>
      <x:c r="B30" s="20" t="n">
        <x:f>MAX(K5:K24)</x:f>
        <x:v>0.30777790093404395</x:v>
      </x:c>
      <x:c r="C30" s="17" t="str">
        <x:v>m/s</x:v>
      </x:c>
    </x:row>
    <x:row r="31">
      <x:c r="A31" s="37" t="str">
        <x:v>How to add</x:v>
      </x:c>
      <x:c r="B31" s="37" t="str">
        <x:v>Set Active=Y in the next blank row, then enter length, ID, roughness, K_each/Qty or Add_K.</x:v>
      </x:c>
      <x:c r="C31" s="37" t="str"/>
    </x:row>
  </x:sheetData>
  <x:mergeCells>
    <x:mergeCell ref="A1:H1"/>
    <x:mergeCell ref="A2:H2"/>
  </x:mergeCells>
  <x:dataValidations count="1">
    <x:dataValidation type="list" sqref="A5:A24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8.84000015258789" hidden="0" customWidth="1"/>
    <x:col min="3" max="3" width="10.770000457763672" hidden="0" customWidth="1"/>
    <x:col min="4" max="4" width="10.770000457763672" hidden="0" customWidth="1"/>
    <x:col min="5" max="5" width="13.460000038146973" hidden="0" customWidth="1"/>
    <x:col min="6" max="6" width="9.420000076293945" hidden="0" customWidth="1"/>
    <x:col min="7" max="7" width="8.079999923706055" hidden="0" customWidth="1"/>
    <x:col min="8" max="8" width="9.420000076293945" hidden="0" customWidth="1"/>
    <x:col min="9" max="9" width="9.420000076293945" hidden="0" customWidth="1"/>
    <x:col min="10" max="10" width="12.109999656677246" hidden="0" customWidth="1"/>
    <x:col min="11" max="11" width="12.109999656677246" hidden="0" customWidth="1"/>
    <x:col min="12" max="12" width="13.460000038146973" hidden="0" customWidth="1"/>
    <x:col min="13" max="13" width="12.109999656677246" hidden="0" customWidth="1"/>
    <x:col min="14" max="14" width="12.109999656677246" hidden="0" customWidth="1"/>
    <x:col min="15" max="15" width="12.789999961853027" hidden="0" customWidth="1"/>
    <x:col min="16" max="16" width="12.789999961853027" hidden="0" customWidth="1"/>
    <x:col min="17" max="17" width="12.789999961853027" hidden="0" customWidth="1"/>
    <x:col min="18" max="18" width="11.4399995803833" hidden="0" customWidth="1"/>
    <x:col min="19" max="19" width="11.4399995803833" hidden="0" customWidth="1"/>
    <x:col min="20" max="20" width="12.109999656677246" hidden="0" customWidth="1"/>
    <x:col min="21" max="21" width="32.970001220703125" hidden="0" customWidth="1"/>
  </x:cols>
  <x:sheetData>
    <x:row r="1">
      <x:c r="A1" s="3" t="str">
        <x:v>Discharge Pipe Segments</x:v>
      </x:c>
      <x:c r="B1" s="3" t="str">
        <x:v>Discharge Pipe Segments</x:v>
      </x:c>
      <x:c r="C1" s="3" t="str">
        <x:v>Discharge Pipe Segments</x:v>
      </x:c>
      <x:c r="D1" s="3" t="str">
        <x:v>Discharge Pipe Segments</x:v>
      </x:c>
      <x:c r="E1" s="3" t="str">
        <x:v>Discharge Pipe Segments</x:v>
      </x:c>
      <x:c r="F1" s="3" t="str">
        <x:v>Discharge Pipe Segments</x:v>
      </x:c>
      <x:c r="G1" s="3" t="str">
        <x:v>Discharge Pipe Segments</x:v>
      </x:c>
      <x:c r="H1" s="3" t="str">
        <x:v>Discharge Pipe Segments</x:v>
      </x:c>
    </x:row>
    <x:row r="2">
      <x:c r="A2" s="6" t="str">
        <x:v>Add discharge segments by setting Active=Y. Discharge losses affect required pump head and outlet pressure.</x:v>
      </x:c>
      <x:c r="B2" s="6" t="str">
        <x:v>Add discharge segments by setting Active=Y. Discharge losses affect required pump head and outlet pressure.</x:v>
      </x:c>
      <x:c r="C2" s="6" t="str">
        <x:v>Add discharge segments by setting Active=Y. Discharge losses affect required pump head and outlet pressure.</x:v>
      </x:c>
      <x:c r="D2" s="6" t="str">
        <x:v>Add discharge segments by setting Active=Y. Discharge losses affect required pump head and outlet pressure.</x:v>
      </x:c>
      <x:c r="E2" s="6" t="str">
        <x:v>Add discharge segments by setting Active=Y. Discharge losses affect required pump head and outlet pressure.</x:v>
      </x:c>
      <x:c r="F2" s="6" t="str">
        <x:v>Add discharge segments by setting Active=Y. Discharge losses affect required pump head and outlet pressure.</x:v>
      </x:c>
      <x:c r="G2" s="6" t="str">
        <x:v>Add discharge segments by setting Active=Y. Discharge losses affect required pump head and outlet pressure.</x:v>
      </x:c>
      <x:c r="H2" s="6" t="str">
        <x:v>Add discharge segments by setting Active=Y. Discharge losses affect required pump head and outlet pressure.</x:v>
      </x:c>
    </x:row>
    <x:row r="3">
      <x:c r="A3" s="11" t="str">
        <x:v>Pipe Segment Inputs and Calculations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  <x:c r="T3" s="11" t="str"/>
      <x:c r="U3" s="11" t="str"/>
    </x:row>
    <x:row r="4">
      <x:c r="A4" s="9" t="str">
        <x:v>Active</x:v>
      </x:c>
      <x:c r="B4" s="9" t="str">
        <x:v>Segment</x:v>
      </x:c>
      <x:c r="C4" s="9" t="str">
        <x:v>Length_m</x:v>
      </x:c>
      <x:c r="D4" s="9" t="str">
        <x:v>ID_mm</x:v>
      </x:c>
      <x:c r="E4" s="9" t="str">
        <x:v>Roughness_mm</x:v>
      </x:c>
      <x:c r="F4" s="9" t="str">
        <x:v>K_each</x:v>
      </x:c>
      <x:c r="G4" s="9" t="str">
        <x:v>Qty</x:v>
      </x:c>
      <x:c r="H4" s="9" t="str">
        <x:v>Add_K</x:v>
      </x:c>
      <x:c r="I4" s="9" t="str">
        <x:v>K_total</x:v>
      </x:c>
      <x:c r="J4" s="9" t="str">
        <x:v>Area_m2</x:v>
      </x:c>
      <x:c r="K4" s="9" t="str">
        <x:v>Velocity_m_s</x:v>
      </x:c>
      <x:c r="L4" s="9" t="str">
        <x:v>VelocityHead_m</x:v>
      </x:c>
      <x:c r="M4" s="9" t="str">
        <x:v>Reynolds</x:v>
      </x:c>
      <x:c r="N4" s="9" t="str">
        <x:v>FrictionFactor</x:v>
      </x:c>
      <x:c r="O4" s="9" t="str">
        <x:v>MajorLoss_m</x:v>
      </x:c>
      <x:c r="P4" s="9" t="str">
        <x:v>MinorLoss_m</x:v>
      </x:c>
      <x:c r="Q4" s="9" t="str">
        <x:v>TotalLoss_m</x:v>
      </x:c>
      <x:c r="R4" s="9" t="str">
        <x:v>ElevStart_m</x:v>
      </x:c>
      <x:c r="S4" s="9" t="str">
        <x:v>ElevEnd_m</x:v>
      </x:c>
      <x:c r="T4" s="9" t="str">
        <x:v>HighPoint_m</x:v>
      </x:c>
      <x:c r="U4" s="9" t="str">
        <x:v>Notes</x:v>
      </x:c>
    </x:row>
    <x:row r="5">
      <x:c r="A5" s="28" t="str">
        <x:v>Y</x:v>
      </x:c>
      <x:c r="B5" s="28" t="str">
        <x:f>IF($A5="Y","PIPE-2-Seg-"&amp;ROW()-4,"")</x:f>
        <x:v>PIPE-2-Seg-1</x:v>
      </x:c>
      <x:c r="C5" s="25" t="n">
        <x:v>15</x:v>
      </x:c>
      <x:c r="D5" s="25" t="n">
        <x:v>102.26</x:v>
      </x:c>
      <x:c r="E5" s="25" t="n">
        <x:v>0.045</x:v>
      </x:c>
      <x:c r="F5" s="25" t="n">
        <x:v>0</x:v>
      </x:c>
      <x:c r="G5" s="25" t="n">
        <x:v>0</x:v>
      </x:c>
      <x:c r="H5" s="25" t="n">
        <x:v>80</x:v>
      </x:c>
      <x:c r="I5" s="29" t="n">
        <x:f>IF($A5&lt;&gt;"Y",0,IF($H5&gt;0,$H5,$F5*$G5))</x:f>
        <x:v>80</x:v>
      </x:c>
      <x:c r="J5" s="29" t="n">
        <x:f>IF(OR($A5&lt;&gt;"Y",$D5&lt;=0),0,PI()*($D5/1000)^2/4)</x:f>
        <x:v>0.0082129931034895</x:v>
      </x:c>
      <x:c r="K5" s="29" t="n">
        <x:f>IF($J5=0,0,Inputs!$B$17/3600/$J5)</x:f>
        <x:v>0.30777790093404395</x:v>
      </x:c>
      <x:c r="L5" s="29" t="n">
        <x:f>$K5^2/(2*Inputs!$B$8)</x:f>
        <x:v>0.004828095632179723</x:v>
      </x:c>
      <x:c r="M5" s="33" t="n">
        <x:f>IF(OR($A5&lt;&gt;"Y",$D5&lt;=0),0,Inputs!$B$5*$K5*($D5/1000)/(Inputs!$B$6/1000))</x:f>
        <x:v>35258.90707120203</x:v>
      </x:c>
      <x:c r="N5" s="29" t="n">
        <x:f>IFERROR(IF($M5&lt;=0,0,IF($M5&lt;2300,64/$M5,0.25/(LOG10(($E5/1000)/(3.7*($D5/1000))+5.74/($M5^0.9)))^2)),0)</x:f>
        <x:v>0.023896046627408494</x:v>
      </x:c>
      <x:c r="O5" s="29" t="n">
        <x:f>IF($A5&lt;&gt;"Y",0,$N5*$C5/($D5/1000)*$L5)</x:f>
        <x:v>0.01692339111306776</x:v>
      </x:c>
      <x:c r="P5" s="29" t="n">
        <x:f>IF($A5&lt;&gt;"Y",0,$I5*$L5)</x:f>
        <x:v>0.3862476505743778</x:v>
      </x:c>
      <x:c r="Q5" s="29" t="n">
        <x:f>IF($A5&lt;&gt;"Y",0,$O5+$P5)</x:f>
        <x:v>0.40317104168744555</x:v>
      </x:c>
      <x:c r="R5" s="34" t="n">
        <x:v>0</x:v>
      </x:c>
      <x:c r="S5" s="34" t="n">
        <x:v>50.2</x:v>
      </x:c>
      <x:c r="T5" s="34" t="n">
        <x:v>50.2</x:v>
      </x:c>
      <x:c r="U5" s="34" t="str">
        <x:v>Baseline discharge route. Add_K=80 represents equivalent discharge restriction for demonstration.</x:v>
      </x:c>
    </x:row>
    <x:row r="6">
      <x:c r="A6" s="28" t="str"/>
      <x:c r="B6" s="28" t="str">
        <x:f>IF($A6="Y","PIPE-2-Seg-"&amp;ROW()-4,"")</x:f>
      </x:c>
      <x:c r="C6" s="25"/>
      <x:c r="D6" s="25"/>
      <x:c r="E6" s="25" t="n">
        <x:v>0.045</x:v>
      </x:c>
      <x:c r="F6" s="25" t="n">
        <x:v>0</x:v>
      </x:c>
      <x:c r="G6" s="25" t="n">
        <x:v>0</x:v>
      </x:c>
      <x:c r="H6" s="25" t="n">
        <x:v>0</x:v>
      </x:c>
      <x:c r="I6" s="29" t="n">
        <x:f>IF($A6&lt;&gt;"Y",0,IF($H6&gt;0,$H6,$F6*$G6))</x:f>
        <x:v>0</x:v>
      </x:c>
      <x:c r="J6" s="29" t="n">
        <x:f>IF(OR($A6&lt;&gt;"Y",$D6&lt;=0),0,PI()*($D6/1000)^2/4)</x:f>
        <x:v>0</x:v>
      </x:c>
      <x:c r="K6" s="29" t="n">
        <x:f>IF($J6=0,0,Inputs!$B$17/3600/$J6)</x:f>
        <x:v>0</x:v>
      </x:c>
      <x:c r="L6" s="29" t="n">
        <x:f>$K6^2/(2*Inputs!$B$8)</x:f>
        <x:v>0</x:v>
      </x:c>
      <x:c r="M6" s="33" t="n">
        <x:f>IF(OR($A6&lt;&gt;"Y",$D6&lt;=0),0,Inputs!$B$5*$K6*($D6/1000)/(Inputs!$B$6/1000))</x:f>
        <x:v>0</x:v>
      </x:c>
      <x:c r="N6" s="29" t="n">
        <x:f>IFERROR(IF($M6&lt;=0,0,IF($M6&lt;2300,64/$M6,0.25/(LOG10(($E6/1000)/(3.7*($D6/1000))+5.74/($M6^0.9)))^2)),0)</x:f>
        <x:v>0</x:v>
      </x:c>
      <x:c r="O6" s="29" t="n">
        <x:f>IF($A6&lt;&gt;"Y",0,$N6*$C6/($D6/1000)*$L6)</x:f>
        <x:v>0</x:v>
      </x:c>
      <x:c r="P6" s="29" t="n">
        <x:f>IF($A6&lt;&gt;"Y",0,$I6*$L6)</x:f>
        <x:v>0</x:v>
      </x:c>
      <x:c r="Q6" s="29" t="n">
        <x:f>IF($A6&lt;&gt;"Y",0,$O6+$P6)</x:f>
        <x:v>0</x:v>
      </x:c>
      <x:c r="R6" s="34" t="str"/>
      <x:c r="S6" s="34" t="str"/>
      <x:c r="T6" s="34" t="str"/>
      <x:c r="U6" s="34" t="str">
        <x:v>Set Active=Y to add this segment.</x:v>
      </x:c>
    </x:row>
    <x:row r="7">
      <x:c r="A7" s="28" t="str"/>
      <x:c r="B7" s="28" t="str">
        <x:f>IF($A7="Y","PIPE-2-Seg-"&amp;ROW()-4,"")</x:f>
      </x:c>
      <x:c r="C7" s="25"/>
      <x:c r="D7" s="25"/>
      <x:c r="E7" s="25" t="n">
        <x:v>0.045</x:v>
      </x:c>
      <x:c r="F7" s="25" t="n">
        <x:v>0</x:v>
      </x:c>
      <x:c r="G7" s="25" t="n">
        <x:v>0</x:v>
      </x:c>
      <x:c r="H7" s="25" t="n">
        <x:v>0</x:v>
      </x:c>
      <x:c r="I7" s="29" t="n">
        <x:f>IF($A7&lt;&gt;"Y",0,IF($H7&gt;0,$H7,$F7*$G7))</x:f>
        <x:v>0</x:v>
      </x:c>
      <x:c r="J7" s="29" t="n">
        <x:f>IF(OR($A7&lt;&gt;"Y",$D7&lt;=0),0,PI()*($D7/1000)^2/4)</x:f>
        <x:v>0</x:v>
      </x:c>
      <x:c r="K7" s="29" t="n">
        <x:f>IF($J7=0,0,Inputs!$B$17/3600/$J7)</x:f>
        <x:v>0</x:v>
      </x:c>
      <x:c r="L7" s="29" t="n">
        <x:f>$K7^2/(2*Inputs!$B$8)</x:f>
        <x:v>0</x:v>
      </x:c>
      <x:c r="M7" s="33" t="n">
        <x:f>IF(OR($A7&lt;&gt;"Y",$D7&lt;=0),0,Inputs!$B$5*$K7*($D7/1000)/(Inputs!$B$6/1000))</x:f>
        <x:v>0</x:v>
      </x:c>
      <x:c r="N7" s="29" t="n">
        <x:f>IFERROR(IF($M7&lt;=0,0,IF($M7&lt;2300,64/$M7,0.25/(LOG10(($E7/1000)/(3.7*($D7/1000))+5.74/($M7^0.9)))^2)),0)</x:f>
        <x:v>0</x:v>
      </x:c>
      <x:c r="O7" s="29" t="n">
        <x:f>IF($A7&lt;&gt;"Y",0,$N7*$C7/($D7/1000)*$L7)</x:f>
        <x:v>0</x:v>
      </x:c>
      <x:c r="P7" s="29" t="n">
        <x:f>IF($A7&lt;&gt;"Y",0,$I7*$L7)</x:f>
        <x:v>0</x:v>
      </x:c>
      <x:c r="Q7" s="29" t="n">
        <x:f>IF($A7&lt;&gt;"Y",0,$O7+$P7)</x:f>
        <x:v>0</x:v>
      </x:c>
      <x:c r="R7" s="34" t="str"/>
      <x:c r="S7" s="34" t="str"/>
      <x:c r="T7" s="34" t="str"/>
      <x:c r="U7" s="34" t="str">
        <x:v>Set Active=Y to add this segment.</x:v>
      </x:c>
    </x:row>
    <x:row r="8">
      <x:c r="A8" s="28" t="str"/>
      <x:c r="B8" s="28" t="str">
        <x:f>IF($A8="Y","PIPE-2-Seg-"&amp;ROW()-4,"")</x:f>
      </x:c>
      <x:c r="C8" s="25"/>
      <x:c r="D8" s="25"/>
      <x:c r="E8" s="25" t="n">
        <x:v>0.045</x:v>
      </x:c>
      <x:c r="F8" s="25" t="n">
        <x:v>0</x:v>
      </x:c>
      <x:c r="G8" s="25" t="n">
        <x:v>0</x:v>
      </x:c>
      <x:c r="H8" s="25" t="n">
        <x:v>0</x:v>
      </x:c>
      <x:c r="I8" s="29" t="n">
        <x:f>IF($A8&lt;&gt;"Y",0,IF($H8&gt;0,$H8,$F8*$G8))</x:f>
        <x:v>0</x:v>
      </x:c>
      <x:c r="J8" s="29" t="n">
        <x:f>IF(OR($A8&lt;&gt;"Y",$D8&lt;=0),0,PI()*($D8/1000)^2/4)</x:f>
        <x:v>0</x:v>
      </x:c>
      <x:c r="K8" s="29" t="n">
        <x:f>IF($J8=0,0,Inputs!$B$17/3600/$J8)</x:f>
        <x:v>0</x:v>
      </x:c>
      <x:c r="L8" s="29" t="n">
        <x:f>$K8^2/(2*Inputs!$B$8)</x:f>
        <x:v>0</x:v>
      </x:c>
      <x:c r="M8" s="33" t="n">
        <x:f>IF(OR($A8&lt;&gt;"Y",$D8&lt;=0),0,Inputs!$B$5*$K8*($D8/1000)/(Inputs!$B$6/1000))</x:f>
        <x:v>0</x:v>
      </x:c>
      <x:c r="N8" s="29" t="n">
        <x:f>IFERROR(IF($M8&lt;=0,0,IF($M8&lt;2300,64/$M8,0.25/(LOG10(($E8/1000)/(3.7*($D8/1000))+5.74/($M8^0.9)))^2)),0)</x:f>
        <x:v>0</x:v>
      </x:c>
      <x:c r="O8" s="29" t="n">
        <x:f>IF($A8&lt;&gt;"Y",0,$N8*$C8/($D8/1000)*$L8)</x:f>
        <x:v>0</x:v>
      </x:c>
      <x:c r="P8" s="29" t="n">
        <x:f>IF($A8&lt;&gt;"Y",0,$I8*$L8)</x:f>
        <x:v>0</x:v>
      </x:c>
      <x:c r="Q8" s="29" t="n">
        <x:f>IF($A8&lt;&gt;"Y",0,$O8+$P8)</x:f>
        <x:v>0</x:v>
      </x:c>
      <x:c r="R8" s="34" t="str"/>
      <x:c r="S8" s="34" t="str"/>
      <x:c r="T8" s="34" t="str"/>
      <x:c r="U8" s="34" t="str">
        <x:v>Set Active=Y to add this segment.</x:v>
      </x:c>
    </x:row>
    <x:row r="9">
      <x:c r="A9" s="28" t="str"/>
      <x:c r="B9" s="28" t="str">
        <x:f>IF($A9="Y","PIPE-2-Seg-"&amp;ROW()-4,"")</x:f>
      </x:c>
      <x:c r="C9" s="25"/>
      <x:c r="D9" s="25"/>
      <x:c r="E9" s="25" t="n">
        <x:v>0.045</x:v>
      </x:c>
      <x:c r="F9" s="25" t="n">
        <x:v>0</x:v>
      </x:c>
      <x:c r="G9" s="25" t="n">
        <x:v>0</x:v>
      </x:c>
      <x:c r="H9" s="25" t="n">
        <x:v>0</x:v>
      </x:c>
      <x:c r="I9" s="29" t="n">
        <x:f>IF($A9&lt;&gt;"Y",0,IF($H9&gt;0,$H9,$F9*$G9))</x:f>
        <x:v>0</x:v>
      </x:c>
      <x:c r="J9" s="29" t="n">
        <x:f>IF(OR($A9&lt;&gt;"Y",$D9&lt;=0),0,PI()*($D9/1000)^2/4)</x:f>
        <x:v>0</x:v>
      </x:c>
      <x:c r="K9" s="29" t="n">
        <x:f>IF($J9=0,0,Inputs!$B$17/3600/$J9)</x:f>
        <x:v>0</x:v>
      </x:c>
      <x:c r="L9" s="29" t="n">
        <x:f>$K9^2/(2*Inputs!$B$8)</x:f>
        <x:v>0</x:v>
      </x:c>
      <x:c r="M9" s="33" t="n">
        <x:f>IF(OR($A9&lt;&gt;"Y",$D9&lt;=0),0,Inputs!$B$5*$K9*($D9/1000)/(Inputs!$B$6/1000))</x:f>
        <x:v>0</x:v>
      </x:c>
      <x:c r="N9" s="29" t="n">
        <x:f>IFERROR(IF($M9&lt;=0,0,IF($M9&lt;2300,64/$M9,0.25/(LOG10(($E9/1000)/(3.7*($D9/1000))+5.74/($M9^0.9)))^2)),0)</x:f>
        <x:v>0</x:v>
      </x:c>
      <x:c r="O9" s="29" t="n">
        <x:f>IF($A9&lt;&gt;"Y",0,$N9*$C9/($D9/1000)*$L9)</x:f>
        <x:v>0</x:v>
      </x:c>
      <x:c r="P9" s="29" t="n">
        <x:f>IF($A9&lt;&gt;"Y",0,$I9*$L9)</x:f>
        <x:v>0</x:v>
      </x:c>
      <x:c r="Q9" s="29" t="n">
        <x:f>IF($A9&lt;&gt;"Y",0,$O9+$P9)</x:f>
        <x:v>0</x:v>
      </x:c>
      <x:c r="R9" s="34" t="str"/>
      <x:c r="S9" s="34" t="str"/>
      <x:c r="T9" s="34" t="str"/>
      <x:c r="U9" s="34" t="str">
        <x:v>Set Active=Y to add this segment.</x:v>
      </x:c>
    </x:row>
    <x:row r="10">
      <x:c r="A10" s="28" t="str"/>
      <x:c r="B10" s="28" t="str">
        <x:f>IF($A10="Y","PIPE-2-Seg-"&amp;ROW()-4,"")</x:f>
      </x:c>
      <x:c r="C10" s="25"/>
      <x:c r="D10" s="25"/>
      <x:c r="E10" s="25" t="n">
        <x:v>0.045</x:v>
      </x:c>
      <x:c r="F10" s="25" t="n">
        <x:v>0</x:v>
      </x:c>
      <x:c r="G10" s="25" t="n">
        <x:v>0</x:v>
      </x:c>
      <x:c r="H10" s="25" t="n">
        <x:v>0</x:v>
      </x:c>
      <x:c r="I10" s="29" t="n">
        <x:f>IF($A10&lt;&gt;"Y",0,IF($H10&gt;0,$H10,$F10*$G10))</x:f>
        <x:v>0</x:v>
      </x:c>
      <x:c r="J10" s="29" t="n">
        <x:f>IF(OR($A10&lt;&gt;"Y",$D10&lt;=0),0,PI()*($D10/1000)^2/4)</x:f>
        <x:v>0</x:v>
      </x:c>
      <x:c r="K10" s="29" t="n">
        <x:f>IF($J10=0,0,Inputs!$B$17/3600/$J10)</x:f>
        <x:v>0</x:v>
      </x:c>
      <x:c r="L10" s="29" t="n">
        <x:f>$K10^2/(2*Inputs!$B$8)</x:f>
        <x:v>0</x:v>
      </x:c>
      <x:c r="M10" s="33" t="n">
        <x:f>IF(OR($A10&lt;&gt;"Y",$D10&lt;=0),0,Inputs!$B$5*$K10*($D10/1000)/(Inputs!$B$6/1000))</x:f>
        <x:v>0</x:v>
      </x:c>
      <x:c r="N10" s="29" t="n">
        <x:f>IFERROR(IF($M10&lt;=0,0,IF($M10&lt;2300,64/$M10,0.25/(LOG10(($E10/1000)/(3.7*($D10/1000))+5.74/($M10^0.9)))^2)),0)</x:f>
        <x:v>0</x:v>
      </x:c>
      <x:c r="O10" s="29" t="n">
        <x:f>IF($A10&lt;&gt;"Y",0,$N10*$C10/($D10/1000)*$L10)</x:f>
        <x:v>0</x:v>
      </x:c>
      <x:c r="P10" s="29" t="n">
        <x:f>IF($A10&lt;&gt;"Y",0,$I10*$L10)</x:f>
        <x:v>0</x:v>
      </x:c>
      <x:c r="Q10" s="29" t="n">
        <x:f>IF($A10&lt;&gt;"Y",0,$O10+$P10)</x:f>
        <x:v>0</x:v>
      </x:c>
      <x:c r="R10" s="34" t="str"/>
      <x:c r="S10" s="34" t="str"/>
      <x:c r="T10" s="34" t="str"/>
      <x:c r="U10" s="34" t="str">
        <x:v>Set Active=Y to add this segment.</x:v>
      </x:c>
    </x:row>
    <x:row r="11">
      <x:c r="A11" s="28" t="str"/>
      <x:c r="B11" s="28" t="str">
        <x:f>IF($A11="Y","PIPE-2-Seg-"&amp;ROW()-4,"")</x:f>
      </x:c>
      <x:c r="C11" s="25"/>
      <x:c r="D11" s="25"/>
      <x:c r="E11" s="25" t="n">
        <x:v>0.045</x:v>
      </x:c>
      <x:c r="F11" s="25" t="n">
        <x:v>0</x:v>
      </x:c>
      <x:c r="G11" s="25" t="n">
        <x:v>0</x:v>
      </x:c>
      <x:c r="H11" s="25" t="n">
        <x:v>0</x:v>
      </x:c>
      <x:c r="I11" s="29" t="n">
        <x:f>IF($A11&lt;&gt;"Y",0,IF($H11&gt;0,$H11,$F11*$G11))</x:f>
        <x:v>0</x:v>
      </x:c>
      <x:c r="J11" s="29" t="n">
        <x:f>IF(OR($A11&lt;&gt;"Y",$D11&lt;=0),0,PI()*($D11/1000)^2/4)</x:f>
        <x:v>0</x:v>
      </x:c>
      <x:c r="K11" s="29" t="n">
        <x:f>IF($J11=0,0,Inputs!$B$17/3600/$J11)</x:f>
        <x:v>0</x:v>
      </x:c>
      <x:c r="L11" s="29" t="n">
        <x:f>$K11^2/(2*Inputs!$B$8)</x:f>
        <x:v>0</x:v>
      </x:c>
      <x:c r="M11" s="33" t="n">
        <x:f>IF(OR($A11&lt;&gt;"Y",$D11&lt;=0),0,Inputs!$B$5*$K11*($D11/1000)/(Inputs!$B$6/1000))</x:f>
        <x:v>0</x:v>
      </x:c>
      <x:c r="N11" s="29" t="n">
        <x:f>IFERROR(IF($M11&lt;=0,0,IF($M11&lt;2300,64/$M11,0.25/(LOG10(($E11/1000)/(3.7*($D11/1000))+5.74/($M11^0.9)))^2)),0)</x:f>
        <x:v>0</x:v>
      </x:c>
      <x:c r="O11" s="29" t="n">
        <x:f>IF($A11&lt;&gt;"Y",0,$N11*$C11/($D11/1000)*$L11)</x:f>
        <x:v>0</x:v>
      </x:c>
      <x:c r="P11" s="29" t="n">
        <x:f>IF($A11&lt;&gt;"Y",0,$I11*$L11)</x:f>
        <x:v>0</x:v>
      </x:c>
      <x:c r="Q11" s="29" t="n">
        <x:f>IF($A11&lt;&gt;"Y",0,$O11+$P11)</x:f>
        <x:v>0</x:v>
      </x:c>
      <x:c r="R11" s="34" t="str"/>
      <x:c r="S11" s="34" t="str"/>
      <x:c r="T11" s="34" t="str"/>
      <x:c r="U11" s="34" t="str">
        <x:v>Set Active=Y to add this segment.</x:v>
      </x:c>
    </x:row>
    <x:row r="12">
      <x:c r="A12" s="28" t="str"/>
      <x:c r="B12" s="28" t="str">
        <x:f>IF($A12="Y","PIPE-2-Seg-"&amp;ROW()-4,"")</x:f>
      </x:c>
      <x:c r="C12" s="25"/>
      <x:c r="D12" s="25"/>
      <x:c r="E12" s="25" t="n">
        <x:v>0.045</x:v>
      </x:c>
      <x:c r="F12" s="25" t="n">
        <x:v>0</x:v>
      </x:c>
      <x:c r="G12" s="25" t="n">
        <x:v>0</x:v>
      </x:c>
      <x:c r="H12" s="25" t="n">
        <x:v>0</x:v>
      </x:c>
      <x:c r="I12" s="29" t="n">
        <x:f>IF($A12&lt;&gt;"Y",0,IF($H12&gt;0,$H12,$F12*$G12))</x:f>
        <x:v>0</x:v>
      </x:c>
      <x:c r="J12" s="29" t="n">
        <x:f>IF(OR($A12&lt;&gt;"Y",$D12&lt;=0),0,PI()*($D12/1000)^2/4)</x:f>
        <x:v>0</x:v>
      </x:c>
      <x:c r="K12" s="29" t="n">
        <x:f>IF($J12=0,0,Inputs!$B$17/3600/$J12)</x:f>
        <x:v>0</x:v>
      </x:c>
      <x:c r="L12" s="29" t="n">
        <x:f>$K12^2/(2*Inputs!$B$8)</x:f>
        <x:v>0</x:v>
      </x:c>
      <x:c r="M12" s="33" t="n">
        <x:f>IF(OR($A12&lt;&gt;"Y",$D12&lt;=0),0,Inputs!$B$5*$K12*($D12/1000)/(Inputs!$B$6/1000))</x:f>
        <x:v>0</x:v>
      </x:c>
      <x:c r="N12" s="29" t="n">
        <x:f>IFERROR(IF($M12&lt;=0,0,IF($M12&lt;2300,64/$M12,0.25/(LOG10(($E12/1000)/(3.7*($D12/1000))+5.74/($M12^0.9)))^2)),0)</x:f>
        <x:v>0</x:v>
      </x:c>
      <x:c r="O12" s="29" t="n">
        <x:f>IF($A12&lt;&gt;"Y",0,$N12*$C12/($D12/1000)*$L12)</x:f>
        <x:v>0</x:v>
      </x:c>
      <x:c r="P12" s="29" t="n">
        <x:f>IF($A12&lt;&gt;"Y",0,$I12*$L12)</x:f>
        <x:v>0</x:v>
      </x:c>
      <x:c r="Q12" s="29" t="n">
        <x:f>IF($A12&lt;&gt;"Y",0,$O12+$P12)</x:f>
        <x:v>0</x:v>
      </x:c>
      <x:c r="R12" s="34" t="str"/>
      <x:c r="S12" s="34" t="str"/>
      <x:c r="T12" s="34" t="str"/>
      <x:c r="U12" s="34" t="str">
        <x:v>Set Active=Y to add this segment.</x:v>
      </x:c>
    </x:row>
    <x:row r="13">
      <x:c r="A13" s="28" t="str"/>
      <x:c r="B13" s="28" t="str">
        <x:f>IF($A13="Y","PIPE-2-Seg-"&amp;ROW()-4,"")</x:f>
      </x:c>
      <x:c r="C13" s="25"/>
      <x:c r="D13" s="25"/>
      <x:c r="E13" s="25" t="n">
        <x:v>0.045</x:v>
      </x:c>
      <x:c r="F13" s="25" t="n">
        <x:v>0</x:v>
      </x:c>
      <x:c r="G13" s="25" t="n">
        <x:v>0</x:v>
      </x:c>
      <x:c r="H13" s="25" t="n">
        <x:v>0</x:v>
      </x:c>
      <x:c r="I13" s="29" t="n">
        <x:f>IF($A13&lt;&gt;"Y",0,IF($H13&gt;0,$H13,$F13*$G13))</x:f>
        <x:v>0</x:v>
      </x:c>
      <x:c r="J13" s="29" t="n">
        <x:f>IF(OR($A13&lt;&gt;"Y",$D13&lt;=0),0,PI()*($D13/1000)^2/4)</x:f>
        <x:v>0</x:v>
      </x:c>
      <x:c r="K13" s="29" t="n">
        <x:f>IF($J13=0,0,Inputs!$B$17/3600/$J13)</x:f>
        <x:v>0</x:v>
      </x:c>
      <x:c r="L13" s="29" t="n">
        <x:f>$K13^2/(2*Inputs!$B$8)</x:f>
        <x:v>0</x:v>
      </x:c>
      <x:c r="M13" s="33" t="n">
        <x:f>IF(OR($A13&lt;&gt;"Y",$D13&lt;=0),0,Inputs!$B$5*$K13*($D13/1000)/(Inputs!$B$6/1000))</x:f>
        <x:v>0</x:v>
      </x:c>
      <x:c r="N13" s="29" t="n">
        <x:f>IFERROR(IF($M13&lt;=0,0,IF($M13&lt;2300,64/$M13,0.25/(LOG10(($E13/1000)/(3.7*($D13/1000))+5.74/($M13^0.9)))^2)),0)</x:f>
        <x:v>0</x:v>
      </x:c>
      <x:c r="O13" s="29" t="n">
        <x:f>IF($A13&lt;&gt;"Y",0,$N13*$C13/($D13/1000)*$L13)</x:f>
        <x:v>0</x:v>
      </x:c>
      <x:c r="P13" s="29" t="n">
        <x:f>IF($A13&lt;&gt;"Y",0,$I13*$L13)</x:f>
        <x:v>0</x:v>
      </x:c>
      <x:c r="Q13" s="29" t="n">
        <x:f>IF($A13&lt;&gt;"Y",0,$O13+$P13)</x:f>
        <x:v>0</x:v>
      </x:c>
      <x:c r="R13" s="34" t="str"/>
      <x:c r="S13" s="34" t="str"/>
      <x:c r="T13" s="34" t="str"/>
      <x:c r="U13" s="34" t="str">
        <x:v>Set Active=Y to add this segment.</x:v>
      </x:c>
    </x:row>
    <x:row r="14">
      <x:c r="A14" s="28" t="str"/>
      <x:c r="B14" s="28" t="str">
        <x:f>IF($A14="Y","PIPE-2-Seg-"&amp;ROW()-4,"")</x:f>
      </x:c>
      <x:c r="C14" s="25"/>
      <x:c r="D14" s="25"/>
      <x:c r="E14" s="25" t="n">
        <x:v>0.045</x:v>
      </x:c>
      <x:c r="F14" s="25" t="n">
        <x:v>0</x:v>
      </x:c>
      <x:c r="G14" s="25" t="n">
        <x:v>0</x:v>
      </x:c>
      <x:c r="H14" s="25" t="n">
        <x:v>0</x:v>
      </x:c>
      <x:c r="I14" s="29" t="n">
        <x:f>IF($A14&lt;&gt;"Y",0,IF($H14&gt;0,$H14,$F14*$G14))</x:f>
        <x:v>0</x:v>
      </x:c>
      <x:c r="J14" s="29" t="n">
        <x:f>IF(OR($A14&lt;&gt;"Y",$D14&lt;=0),0,PI()*($D14/1000)^2/4)</x:f>
        <x:v>0</x:v>
      </x:c>
      <x:c r="K14" s="29" t="n">
        <x:f>IF($J14=0,0,Inputs!$B$17/3600/$J14)</x:f>
        <x:v>0</x:v>
      </x:c>
      <x:c r="L14" s="29" t="n">
        <x:f>$K14^2/(2*Inputs!$B$8)</x:f>
        <x:v>0</x:v>
      </x:c>
      <x:c r="M14" s="33" t="n">
        <x:f>IF(OR($A14&lt;&gt;"Y",$D14&lt;=0),0,Inputs!$B$5*$K14*($D14/1000)/(Inputs!$B$6/1000))</x:f>
        <x:v>0</x:v>
      </x:c>
      <x:c r="N14" s="29" t="n">
        <x:f>IFERROR(IF($M14&lt;=0,0,IF($M14&lt;2300,64/$M14,0.25/(LOG10(($E14/1000)/(3.7*($D14/1000))+5.74/($M14^0.9)))^2)),0)</x:f>
        <x:v>0</x:v>
      </x:c>
      <x:c r="O14" s="29" t="n">
        <x:f>IF($A14&lt;&gt;"Y",0,$N14*$C14/($D14/1000)*$L14)</x:f>
        <x:v>0</x:v>
      </x:c>
      <x:c r="P14" s="29" t="n">
        <x:f>IF($A14&lt;&gt;"Y",0,$I14*$L14)</x:f>
        <x:v>0</x:v>
      </x:c>
      <x:c r="Q14" s="29" t="n">
        <x:f>IF($A14&lt;&gt;"Y",0,$O14+$P14)</x:f>
        <x:v>0</x:v>
      </x:c>
      <x:c r="R14" s="34" t="str"/>
      <x:c r="S14" s="34" t="str"/>
      <x:c r="T14" s="34" t="str"/>
      <x:c r="U14" s="34" t="str">
        <x:v>Set Active=Y to add this segment.</x:v>
      </x:c>
    </x:row>
    <x:row r="15">
      <x:c r="A15" s="28" t="str"/>
      <x:c r="B15" s="28" t="str">
        <x:f>IF($A15="Y","PIPE-2-Seg-"&amp;ROW()-4,"")</x:f>
      </x:c>
      <x:c r="C15" s="25"/>
      <x:c r="D15" s="25"/>
      <x:c r="E15" s="25" t="n">
        <x:v>0.045</x:v>
      </x:c>
      <x:c r="F15" s="25" t="n">
        <x:v>0</x:v>
      </x:c>
      <x:c r="G15" s="25" t="n">
        <x:v>0</x:v>
      </x:c>
      <x:c r="H15" s="25" t="n">
        <x:v>0</x:v>
      </x:c>
      <x:c r="I15" s="29" t="n">
        <x:f>IF($A15&lt;&gt;"Y",0,IF($H15&gt;0,$H15,$F15*$G15))</x:f>
        <x:v>0</x:v>
      </x:c>
      <x:c r="J15" s="29" t="n">
        <x:f>IF(OR($A15&lt;&gt;"Y",$D15&lt;=0),0,PI()*($D15/1000)^2/4)</x:f>
        <x:v>0</x:v>
      </x:c>
      <x:c r="K15" s="29" t="n">
        <x:f>IF($J15=0,0,Inputs!$B$17/3600/$J15)</x:f>
        <x:v>0</x:v>
      </x:c>
      <x:c r="L15" s="29" t="n">
        <x:f>$K15^2/(2*Inputs!$B$8)</x:f>
        <x:v>0</x:v>
      </x:c>
      <x:c r="M15" s="33" t="n">
        <x:f>IF(OR($A15&lt;&gt;"Y",$D15&lt;=0),0,Inputs!$B$5*$K15*($D15/1000)/(Inputs!$B$6/1000))</x:f>
        <x:v>0</x:v>
      </x:c>
      <x:c r="N15" s="29" t="n">
        <x:f>IFERROR(IF($M15&lt;=0,0,IF($M15&lt;2300,64/$M15,0.25/(LOG10(($E15/1000)/(3.7*($D15/1000))+5.74/($M15^0.9)))^2)),0)</x:f>
        <x:v>0</x:v>
      </x:c>
      <x:c r="O15" s="29" t="n">
        <x:f>IF($A15&lt;&gt;"Y",0,$N15*$C15/($D15/1000)*$L15)</x:f>
        <x:v>0</x:v>
      </x:c>
      <x:c r="P15" s="29" t="n">
        <x:f>IF($A15&lt;&gt;"Y",0,$I15*$L15)</x:f>
        <x:v>0</x:v>
      </x:c>
      <x:c r="Q15" s="29" t="n">
        <x:f>IF($A15&lt;&gt;"Y",0,$O15+$P15)</x:f>
        <x:v>0</x:v>
      </x:c>
      <x:c r="R15" s="34" t="str"/>
      <x:c r="S15" s="34" t="str"/>
      <x:c r="T15" s="34" t="str"/>
      <x:c r="U15" s="34" t="str">
        <x:v>Set Active=Y to add this segment.</x:v>
      </x:c>
    </x:row>
    <x:row r="16">
      <x:c r="A16" s="28" t="str"/>
      <x:c r="B16" s="28" t="str">
        <x:f>IF($A16="Y","PIPE-2-Seg-"&amp;ROW()-4,"")</x:f>
      </x:c>
      <x:c r="C16" s="25"/>
      <x:c r="D16" s="25"/>
      <x:c r="E16" s="25" t="n">
        <x:v>0.045</x:v>
      </x:c>
      <x:c r="F16" s="25" t="n">
        <x:v>0</x:v>
      </x:c>
      <x:c r="G16" s="25" t="n">
        <x:v>0</x:v>
      </x:c>
      <x:c r="H16" s="25" t="n">
        <x:v>0</x:v>
      </x:c>
      <x:c r="I16" s="29" t="n">
        <x:f>IF($A16&lt;&gt;"Y",0,IF($H16&gt;0,$H16,$F16*$G16))</x:f>
        <x:v>0</x:v>
      </x:c>
      <x:c r="J16" s="29" t="n">
        <x:f>IF(OR($A16&lt;&gt;"Y",$D16&lt;=0),0,PI()*($D16/1000)^2/4)</x:f>
        <x:v>0</x:v>
      </x:c>
      <x:c r="K16" s="29" t="n">
        <x:f>IF($J16=0,0,Inputs!$B$17/3600/$J16)</x:f>
        <x:v>0</x:v>
      </x:c>
      <x:c r="L16" s="29" t="n">
        <x:f>$K16^2/(2*Inputs!$B$8)</x:f>
        <x:v>0</x:v>
      </x:c>
      <x:c r="M16" s="33" t="n">
        <x:f>IF(OR($A16&lt;&gt;"Y",$D16&lt;=0),0,Inputs!$B$5*$K16*($D16/1000)/(Inputs!$B$6/1000))</x:f>
        <x:v>0</x:v>
      </x:c>
      <x:c r="N16" s="29" t="n">
        <x:f>IFERROR(IF($M16&lt;=0,0,IF($M16&lt;2300,64/$M16,0.25/(LOG10(($E16/1000)/(3.7*($D16/1000))+5.74/($M16^0.9)))^2)),0)</x:f>
        <x:v>0</x:v>
      </x:c>
      <x:c r="O16" s="29" t="n">
        <x:f>IF($A16&lt;&gt;"Y",0,$N16*$C16/($D16/1000)*$L16)</x:f>
        <x:v>0</x:v>
      </x:c>
      <x:c r="P16" s="29" t="n">
        <x:f>IF($A16&lt;&gt;"Y",0,$I16*$L16)</x:f>
        <x:v>0</x:v>
      </x:c>
      <x:c r="Q16" s="29" t="n">
        <x:f>IF($A16&lt;&gt;"Y",0,$O16+$P16)</x:f>
        <x:v>0</x:v>
      </x:c>
      <x:c r="R16" s="34" t="str"/>
      <x:c r="S16" s="34" t="str"/>
      <x:c r="T16" s="34" t="str"/>
      <x:c r="U16" s="34" t="str">
        <x:v>Set Active=Y to add this segment.</x:v>
      </x:c>
    </x:row>
    <x:row r="17">
      <x:c r="A17" s="28" t="str"/>
      <x:c r="B17" s="28" t="str">
        <x:f>IF($A17="Y","PIPE-2-Seg-"&amp;ROW()-4,"")</x:f>
      </x:c>
      <x:c r="C17" s="25"/>
      <x:c r="D17" s="25"/>
      <x:c r="E17" s="25" t="n">
        <x:v>0.045</x:v>
      </x:c>
      <x:c r="F17" s="25" t="n">
        <x:v>0</x:v>
      </x:c>
      <x:c r="G17" s="25" t="n">
        <x:v>0</x:v>
      </x:c>
      <x:c r="H17" s="25" t="n">
        <x:v>0</x:v>
      </x:c>
      <x:c r="I17" s="29" t="n">
        <x:f>IF($A17&lt;&gt;"Y",0,IF($H17&gt;0,$H17,$F17*$G17))</x:f>
        <x:v>0</x:v>
      </x:c>
      <x:c r="J17" s="29" t="n">
        <x:f>IF(OR($A17&lt;&gt;"Y",$D17&lt;=0),0,PI()*($D17/1000)^2/4)</x:f>
        <x:v>0</x:v>
      </x:c>
      <x:c r="K17" s="29" t="n">
        <x:f>IF($J17=0,0,Inputs!$B$17/3600/$J17)</x:f>
        <x:v>0</x:v>
      </x:c>
      <x:c r="L17" s="29" t="n">
        <x:f>$K17^2/(2*Inputs!$B$8)</x:f>
        <x:v>0</x:v>
      </x:c>
      <x:c r="M17" s="33" t="n">
        <x:f>IF(OR($A17&lt;&gt;"Y",$D17&lt;=0),0,Inputs!$B$5*$K17*($D17/1000)/(Inputs!$B$6/1000))</x:f>
        <x:v>0</x:v>
      </x:c>
      <x:c r="N17" s="29" t="n">
        <x:f>IFERROR(IF($M17&lt;=0,0,IF($M17&lt;2300,64/$M17,0.25/(LOG10(($E17/1000)/(3.7*($D17/1000))+5.74/($M17^0.9)))^2)),0)</x:f>
        <x:v>0</x:v>
      </x:c>
      <x:c r="O17" s="29" t="n">
        <x:f>IF($A17&lt;&gt;"Y",0,$N17*$C17/($D17/1000)*$L17)</x:f>
        <x:v>0</x:v>
      </x:c>
      <x:c r="P17" s="29" t="n">
        <x:f>IF($A17&lt;&gt;"Y",0,$I17*$L17)</x:f>
        <x:v>0</x:v>
      </x:c>
      <x:c r="Q17" s="29" t="n">
        <x:f>IF($A17&lt;&gt;"Y",0,$O17+$P17)</x:f>
        <x:v>0</x:v>
      </x:c>
      <x:c r="R17" s="34" t="str"/>
      <x:c r="S17" s="34" t="str"/>
      <x:c r="T17" s="34" t="str"/>
      <x:c r="U17" s="34" t="str">
        <x:v>Set Active=Y to add this segment.</x:v>
      </x:c>
    </x:row>
    <x:row r="18">
      <x:c r="A18" s="28" t="str"/>
      <x:c r="B18" s="28" t="str">
        <x:f>IF($A18="Y","PIPE-2-Seg-"&amp;ROW()-4,"")</x:f>
      </x:c>
      <x:c r="C18" s="25"/>
      <x:c r="D18" s="25"/>
      <x:c r="E18" s="25" t="n">
        <x:v>0.045</x:v>
      </x:c>
      <x:c r="F18" s="25" t="n">
        <x:v>0</x:v>
      </x:c>
      <x:c r="G18" s="25" t="n">
        <x:v>0</x:v>
      </x:c>
      <x:c r="H18" s="25" t="n">
        <x:v>0</x:v>
      </x:c>
      <x:c r="I18" s="29" t="n">
        <x:f>IF($A18&lt;&gt;"Y",0,IF($H18&gt;0,$H18,$F18*$G18))</x:f>
        <x:v>0</x:v>
      </x:c>
      <x:c r="J18" s="29" t="n">
        <x:f>IF(OR($A18&lt;&gt;"Y",$D18&lt;=0),0,PI()*($D18/1000)^2/4)</x:f>
        <x:v>0</x:v>
      </x:c>
      <x:c r="K18" s="29" t="n">
        <x:f>IF($J18=0,0,Inputs!$B$17/3600/$J18)</x:f>
        <x:v>0</x:v>
      </x:c>
      <x:c r="L18" s="29" t="n">
        <x:f>$K18^2/(2*Inputs!$B$8)</x:f>
        <x:v>0</x:v>
      </x:c>
      <x:c r="M18" s="33" t="n">
        <x:f>IF(OR($A18&lt;&gt;"Y",$D18&lt;=0),0,Inputs!$B$5*$K18*($D18/1000)/(Inputs!$B$6/1000))</x:f>
        <x:v>0</x:v>
      </x:c>
      <x:c r="N18" s="29" t="n">
        <x:f>IFERROR(IF($M18&lt;=0,0,IF($M18&lt;2300,64/$M18,0.25/(LOG10(($E18/1000)/(3.7*($D18/1000))+5.74/($M18^0.9)))^2)),0)</x:f>
        <x:v>0</x:v>
      </x:c>
      <x:c r="O18" s="29" t="n">
        <x:f>IF($A18&lt;&gt;"Y",0,$N18*$C18/($D18/1000)*$L18)</x:f>
        <x:v>0</x:v>
      </x:c>
      <x:c r="P18" s="29" t="n">
        <x:f>IF($A18&lt;&gt;"Y",0,$I18*$L18)</x:f>
        <x:v>0</x:v>
      </x:c>
      <x:c r="Q18" s="29" t="n">
        <x:f>IF($A18&lt;&gt;"Y",0,$O18+$P18)</x:f>
        <x:v>0</x:v>
      </x:c>
      <x:c r="R18" s="34" t="str"/>
      <x:c r="S18" s="34" t="str"/>
      <x:c r="T18" s="34" t="str"/>
      <x:c r="U18" s="34" t="str">
        <x:v>Set Active=Y to add this segment.</x:v>
      </x:c>
    </x:row>
    <x:row r="19">
      <x:c r="A19" s="28" t="str"/>
      <x:c r="B19" s="28" t="str">
        <x:f>IF($A19="Y","PIPE-2-Seg-"&amp;ROW()-4,"")</x:f>
      </x:c>
      <x:c r="C19" s="25"/>
      <x:c r="D19" s="25"/>
      <x:c r="E19" s="25" t="n">
        <x:v>0.045</x:v>
      </x:c>
      <x:c r="F19" s="25" t="n">
        <x:v>0</x:v>
      </x:c>
      <x:c r="G19" s="25" t="n">
        <x:v>0</x:v>
      </x:c>
      <x:c r="H19" s="25" t="n">
        <x:v>0</x:v>
      </x:c>
      <x:c r="I19" s="29" t="n">
        <x:f>IF($A19&lt;&gt;"Y",0,IF($H19&gt;0,$H19,$F19*$G19))</x:f>
        <x:v>0</x:v>
      </x:c>
      <x:c r="J19" s="29" t="n">
        <x:f>IF(OR($A19&lt;&gt;"Y",$D19&lt;=0),0,PI()*($D19/1000)^2/4)</x:f>
        <x:v>0</x:v>
      </x:c>
      <x:c r="K19" s="29" t="n">
        <x:f>IF($J19=0,0,Inputs!$B$17/3600/$J19)</x:f>
        <x:v>0</x:v>
      </x:c>
      <x:c r="L19" s="29" t="n">
        <x:f>$K19^2/(2*Inputs!$B$8)</x:f>
        <x:v>0</x:v>
      </x:c>
      <x:c r="M19" s="33" t="n">
        <x:f>IF(OR($A19&lt;&gt;"Y",$D19&lt;=0),0,Inputs!$B$5*$K19*($D19/1000)/(Inputs!$B$6/1000))</x:f>
        <x:v>0</x:v>
      </x:c>
      <x:c r="N19" s="29" t="n">
        <x:f>IFERROR(IF($M19&lt;=0,0,IF($M19&lt;2300,64/$M19,0.25/(LOG10(($E19/1000)/(3.7*($D19/1000))+5.74/($M19^0.9)))^2)),0)</x:f>
        <x:v>0</x:v>
      </x:c>
      <x:c r="O19" s="29" t="n">
        <x:f>IF($A19&lt;&gt;"Y",0,$N19*$C19/($D19/1000)*$L19)</x:f>
        <x:v>0</x:v>
      </x:c>
      <x:c r="P19" s="29" t="n">
        <x:f>IF($A19&lt;&gt;"Y",0,$I19*$L19)</x:f>
        <x:v>0</x:v>
      </x:c>
      <x:c r="Q19" s="29" t="n">
        <x:f>IF($A19&lt;&gt;"Y",0,$O19+$P19)</x:f>
        <x:v>0</x:v>
      </x:c>
      <x:c r="R19" s="34" t="str"/>
      <x:c r="S19" s="34" t="str"/>
      <x:c r="T19" s="34" t="str"/>
      <x:c r="U19" s="34" t="str">
        <x:v>Set Active=Y to add this segment.</x:v>
      </x:c>
    </x:row>
    <x:row r="20">
      <x:c r="A20" s="28" t="str"/>
      <x:c r="B20" s="28" t="str">
        <x:f>IF($A20="Y","PIPE-2-Seg-"&amp;ROW()-4,"")</x:f>
      </x:c>
      <x:c r="C20" s="25"/>
      <x:c r="D20" s="25"/>
      <x:c r="E20" s="25" t="n">
        <x:v>0.045</x:v>
      </x:c>
      <x:c r="F20" s="25" t="n">
        <x:v>0</x:v>
      </x:c>
      <x:c r="G20" s="25" t="n">
        <x:v>0</x:v>
      </x:c>
      <x:c r="H20" s="25" t="n">
        <x:v>0</x:v>
      </x:c>
      <x:c r="I20" s="29" t="n">
        <x:f>IF($A20&lt;&gt;"Y",0,IF($H20&gt;0,$H20,$F20*$G20))</x:f>
        <x:v>0</x:v>
      </x:c>
      <x:c r="J20" s="29" t="n">
        <x:f>IF(OR($A20&lt;&gt;"Y",$D20&lt;=0),0,PI()*($D20/1000)^2/4)</x:f>
        <x:v>0</x:v>
      </x:c>
      <x:c r="K20" s="29" t="n">
        <x:f>IF($J20=0,0,Inputs!$B$17/3600/$J20)</x:f>
        <x:v>0</x:v>
      </x:c>
      <x:c r="L20" s="29" t="n">
        <x:f>$K20^2/(2*Inputs!$B$8)</x:f>
        <x:v>0</x:v>
      </x:c>
      <x:c r="M20" s="33" t="n">
        <x:f>IF(OR($A20&lt;&gt;"Y",$D20&lt;=0),0,Inputs!$B$5*$K20*($D20/1000)/(Inputs!$B$6/1000))</x:f>
        <x:v>0</x:v>
      </x:c>
      <x:c r="N20" s="29" t="n">
        <x:f>IFERROR(IF($M20&lt;=0,0,IF($M20&lt;2300,64/$M20,0.25/(LOG10(($E20/1000)/(3.7*($D20/1000))+5.74/($M20^0.9)))^2)),0)</x:f>
        <x:v>0</x:v>
      </x:c>
      <x:c r="O20" s="29" t="n">
        <x:f>IF($A20&lt;&gt;"Y",0,$N20*$C20/($D20/1000)*$L20)</x:f>
        <x:v>0</x:v>
      </x:c>
      <x:c r="P20" s="29" t="n">
        <x:f>IF($A20&lt;&gt;"Y",0,$I20*$L20)</x:f>
        <x:v>0</x:v>
      </x:c>
      <x:c r="Q20" s="29" t="n">
        <x:f>IF($A20&lt;&gt;"Y",0,$O20+$P20)</x:f>
        <x:v>0</x:v>
      </x:c>
      <x:c r="R20" s="34" t="str"/>
      <x:c r="S20" s="34" t="str"/>
      <x:c r="T20" s="34" t="str"/>
      <x:c r="U20" s="34" t="str">
        <x:v>Set Active=Y to add this segment.</x:v>
      </x:c>
    </x:row>
    <x:row r="21">
      <x:c r="A21" s="28" t="str"/>
      <x:c r="B21" s="28" t="str">
        <x:f>IF($A21="Y","PIPE-2-Seg-"&amp;ROW()-4,"")</x:f>
      </x:c>
      <x:c r="C21" s="25"/>
      <x:c r="D21" s="25"/>
      <x:c r="E21" s="25" t="n">
        <x:v>0.045</x:v>
      </x:c>
      <x:c r="F21" s="25" t="n">
        <x:v>0</x:v>
      </x:c>
      <x:c r="G21" s="25" t="n">
        <x:v>0</x:v>
      </x:c>
      <x:c r="H21" s="25" t="n">
        <x:v>0</x:v>
      </x:c>
      <x:c r="I21" s="29" t="n">
        <x:f>IF($A21&lt;&gt;"Y",0,IF($H21&gt;0,$H21,$F21*$G21))</x:f>
        <x:v>0</x:v>
      </x:c>
      <x:c r="J21" s="29" t="n">
        <x:f>IF(OR($A21&lt;&gt;"Y",$D21&lt;=0),0,PI()*($D21/1000)^2/4)</x:f>
        <x:v>0</x:v>
      </x:c>
      <x:c r="K21" s="29" t="n">
        <x:f>IF($J21=0,0,Inputs!$B$17/3600/$J21)</x:f>
        <x:v>0</x:v>
      </x:c>
      <x:c r="L21" s="29" t="n">
        <x:f>$K21^2/(2*Inputs!$B$8)</x:f>
        <x:v>0</x:v>
      </x:c>
      <x:c r="M21" s="33" t="n">
        <x:f>IF(OR($A21&lt;&gt;"Y",$D21&lt;=0),0,Inputs!$B$5*$K21*($D21/1000)/(Inputs!$B$6/1000))</x:f>
        <x:v>0</x:v>
      </x:c>
      <x:c r="N21" s="29" t="n">
        <x:f>IFERROR(IF($M21&lt;=0,0,IF($M21&lt;2300,64/$M21,0.25/(LOG10(($E21/1000)/(3.7*($D21/1000))+5.74/($M21^0.9)))^2)),0)</x:f>
        <x:v>0</x:v>
      </x:c>
      <x:c r="O21" s="29" t="n">
        <x:f>IF($A21&lt;&gt;"Y",0,$N21*$C21/($D21/1000)*$L21)</x:f>
        <x:v>0</x:v>
      </x:c>
      <x:c r="P21" s="29" t="n">
        <x:f>IF($A21&lt;&gt;"Y",0,$I21*$L21)</x:f>
        <x:v>0</x:v>
      </x:c>
      <x:c r="Q21" s="29" t="n">
        <x:f>IF($A21&lt;&gt;"Y",0,$O21+$P21)</x:f>
        <x:v>0</x:v>
      </x:c>
      <x:c r="R21" s="34" t="str"/>
      <x:c r="S21" s="34" t="str"/>
      <x:c r="T21" s="34" t="str"/>
      <x:c r="U21" s="34" t="str">
        <x:v>Set Active=Y to add this segment.</x:v>
      </x:c>
    </x:row>
    <x:row r="22">
      <x:c r="A22" s="28" t="str"/>
      <x:c r="B22" s="28" t="str">
        <x:f>IF($A22="Y","PIPE-2-Seg-"&amp;ROW()-4,"")</x:f>
      </x:c>
      <x:c r="C22" s="25"/>
      <x:c r="D22" s="25"/>
      <x:c r="E22" s="25" t="n">
        <x:v>0.045</x:v>
      </x:c>
      <x:c r="F22" s="25" t="n">
        <x:v>0</x:v>
      </x:c>
      <x:c r="G22" s="25" t="n">
        <x:v>0</x:v>
      </x:c>
      <x:c r="H22" s="25" t="n">
        <x:v>0</x:v>
      </x:c>
      <x:c r="I22" s="29" t="n">
        <x:f>IF($A22&lt;&gt;"Y",0,IF($H22&gt;0,$H22,$F22*$G22))</x:f>
        <x:v>0</x:v>
      </x:c>
      <x:c r="J22" s="29" t="n">
        <x:f>IF(OR($A22&lt;&gt;"Y",$D22&lt;=0),0,PI()*($D22/1000)^2/4)</x:f>
        <x:v>0</x:v>
      </x:c>
      <x:c r="K22" s="29" t="n">
        <x:f>IF($J22=0,0,Inputs!$B$17/3600/$J22)</x:f>
        <x:v>0</x:v>
      </x:c>
      <x:c r="L22" s="29" t="n">
        <x:f>$K22^2/(2*Inputs!$B$8)</x:f>
        <x:v>0</x:v>
      </x:c>
      <x:c r="M22" s="33" t="n">
        <x:f>IF(OR($A22&lt;&gt;"Y",$D22&lt;=0),0,Inputs!$B$5*$K22*($D22/1000)/(Inputs!$B$6/1000))</x:f>
        <x:v>0</x:v>
      </x:c>
      <x:c r="N22" s="29" t="n">
        <x:f>IFERROR(IF($M22&lt;=0,0,IF($M22&lt;2300,64/$M22,0.25/(LOG10(($E22/1000)/(3.7*($D22/1000))+5.74/($M22^0.9)))^2)),0)</x:f>
        <x:v>0</x:v>
      </x:c>
      <x:c r="O22" s="29" t="n">
        <x:f>IF($A22&lt;&gt;"Y",0,$N22*$C22/($D22/1000)*$L22)</x:f>
        <x:v>0</x:v>
      </x:c>
      <x:c r="P22" s="29" t="n">
        <x:f>IF($A22&lt;&gt;"Y",0,$I22*$L22)</x:f>
        <x:v>0</x:v>
      </x:c>
      <x:c r="Q22" s="29" t="n">
        <x:f>IF($A22&lt;&gt;"Y",0,$O22+$P22)</x:f>
        <x:v>0</x:v>
      </x:c>
      <x:c r="R22" s="34" t="str"/>
      <x:c r="S22" s="34" t="str"/>
      <x:c r="T22" s="34" t="str"/>
      <x:c r="U22" s="34" t="str">
        <x:v>Set Active=Y to add this segment.</x:v>
      </x:c>
    </x:row>
    <x:row r="23">
      <x:c r="A23" s="28" t="str"/>
      <x:c r="B23" s="28" t="str">
        <x:f>IF($A23="Y","PIPE-2-Seg-"&amp;ROW()-4,"")</x:f>
      </x:c>
      <x:c r="C23" s="25"/>
      <x:c r="D23" s="25"/>
      <x:c r="E23" s="25" t="n">
        <x:v>0.045</x:v>
      </x:c>
      <x:c r="F23" s="25" t="n">
        <x:v>0</x:v>
      </x:c>
      <x:c r="G23" s="25" t="n">
        <x:v>0</x:v>
      </x:c>
      <x:c r="H23" s="25" t="n">
        <x:v>0</x:v>
      </x:c>
      <x:c r="I23" s="29" t="n">
        <x:f>IF($A23&lt;&gt;"Y",0,IF($H23&gt;0,$H23,$F23*$G23))</x:f>
        <x:v>0</x:v>
      </x:c>
      <x:c r="J23" s="29" t="n">
        <x:f>IF(OR($A23&lt;&gt;"Y",$D23&lt;=0),0,PI()*($D23/1000)^2/4)</x:f>
        <x:v>0</x:v>
      </x:c>
      <x:c r="K23" s="29" t="n">
        <x:f>IF($J23=0,0,Inputs!$B$17/3600/$J23)</x:f>
        <x:v>0</x:v>
      </x:c>
      <x:c r="L23" s="29" t="n">
        <x:f>$K23^2/(2*Inputs!$B$8)</x:f>
        <x:v>0</x:v>
      </x:c>
      <x:c r="M23" s="33" t="n">
        <x:f>IF(OR($A23&lt;&gt;"Y",$D23&lt;=0),0,Inputs!$B$5*$K23*($D23/1000)/(Inputs!$B$6/1000))</x:f>
        <x:v>0</x:v>
      </x:c>
      <x:c r="N23" s="29" t="n">
        <x:f>IFERROR(IF($M23&lt;=0,0,IF($M23&lt;2300,64/$M23,0.25/(LOG10(($E23/1000)/(3.7*($D23/1000))+5.74/($M23^0.9)))^2)),0)</x:f>
        <x:v>0</x:v>
      </x:c>
      <x:c r="O23" s="29" t="n">
        <x:f>IF($A23&lt;&gt;"Y",0,$N23*$C23/($D23/1000)*$L23)</x:f>
        <x:v>0</x:v>
      </x:c>
      <x:c r="P23" s="29" t="n">
        <x:f>IF($A23&lt;&gt;"Y",0,$I23*$L23)</x:f>
        <x:v>0</x:v>
      </x:c>
      <x:c r="Q23" s="29" t="n">
        <x:f>IF($A23&lt;&gt;"Y",0,$O23+$P23)</x:f>
        <x:v>0</x:v>
      </x:c>
      <x:c r="R23" s="34" t="str"/>
      <x:c r="S23" s="34" t="str"/>
      <x:c r="T23" s="34" t="str"/>
      <x:c r="U23" s="34" t="str">
        <x:v>Set Active=Y to add this segment.</x:v>
      </x:c>
    </x:row>
    <x:row r="24">
      <x:c r="A24" s="28" t="str"/>
      <x:c r="B24" s="28" t="str">
        <x:f>IF($A24="Y","PIPE-2-Seg-"&amp;ROW()-4,"")</x:f>
      </x:c>
      <x:c r="C24" s="25"/>
      <x:c r="D24" s="25"/>
      <x:c r="E24" s="25" t="n">
        <x:v>0.045</x:v>
      </x:c>
      <x:c r="F24" s="25" t="n">
        <x:v>0</x:v>
      </x:c>
      <x:c r="G24" s="25" t="n">
        <x:v>0</x:v>
      </x:c>
      <x:c r="H24" s="25" t="n">
        <x:v>0</x:v>
      </x:c>
      <x:c r="I24" s="29" t="n">
        <x:f>IF($A24&lt;&gt;"Y",0,IF($H24&gt;0,$H24,$F24*$G24))</x:f>
        <x:v>0</x:v>
      </x:c>
      <x:c r="J24" s="29" t="n">
        <x:f>IF(OR($A24&lt;&gt;"Y",$D24&lt;=0),0,PI()*($D24/1000)^2/4)</x:f>
        <x:v>0</x:v>
      </x:c>
      <x:c r="K24" s="29" t="n">
        <x:f>IF($J24=0,0,Inputs!$B$17/3600/$J24)</x:f>
        <x:v>0</x:v>
      </x:c>
      <x:c r="L24" s="29" t="n">
        <x:f>$K24^2/(2*Inputs!$B$8)</x:f>
        <x:v>0</x:v>
      </x:c>
      <x:c r="M24" s="33" t="n">
        <x:f>IF(OR($A24&lt;&gt;"Y",$D24&lt;=0),0,Inputs!$B$5*$K24*($D24/1000)/(Inputs!$B$6/1000))</x:f>
        <x:v>0</x:v>
      </x:c>
      <x:c r="N24" s="29" t="n">
        <x:f>IFERROR(IF($M24&lt;=0,0,IF($M24&lt;2300,64/$M24,0.25/(LOG10(($E24/1000)/(3.7*($D24/1000))+5.74/($M24^0.9)))^2)),0)</x:f>
        <x:v>0</x:v>
      </x:c>
      <x:c r="O24" s="29" t="n">
        <x:f>IF($A24&lt;&gt;"Y",0,$N24*$C24/($D24/1000)*$L24)</x:f>
        <x:v>0</x:v>
      </x:c>
      <x:c r="P24" s="29" t="n">
        <x:f>IF($A24&lt;&gt;"Y",0,$I24*$L24)</x:f>
        <x:v>0</x:v>
      </x:c>
      <x:c r="Q24" s="29" t="n">
        <x:f>IF($A24&lt;&gt;"Y",0,$O24+$P24)</x:f>
        <x:v>0</x:v>
      </x:c>
      <x:c r="R24" s="34" t="str"/>
      <x:c r="S24" s="34" t="str"/>
      <x:c r="T24" s="34" t="str"/>
      <x:c r="U24" s="34" t="str">
        <x:v>Set Active=Y to add this segment.</x:v>
      </x:c>
    </x:row>
    <x:row r="27">
      <x:c r="A27" s="11" t="str">
        <x:v>Segment total</x:v>
      </x:c>
      <x:c r="B27" s="11" t="str"/>
      <x:c r="C27" s="11" t="str"/>
    </x:row>
    <x:row r="28">
      <x:c r="A28" s="17" t="str">
        <x:v>Active count</x:v>
      </x:c>
      <x:c r="B28" s="20" t="n">
        <x:f>COUNTIF(A5:A24,"Y")</x:f>
        <x:v>1</x:v>
      </x:c>
      <x:c r="C28" s="17" t="str">
        <x:v>segments</x:v>
      </x:c>
    </x:row>
    <x:row r="29">
      <x:c r="A29" s="17" t="str">
        <x:v>Total head loss</x:v>
      </x:c>
      <x:c r="B29" s="20" t="n">
        <x:f>SUM(Q5:Q24)</x:f>
        <x:v>0.40317104168744555</x:v>
      </x:c>
      <x:c r="C29" s="17" t="str">
        <x:v>m</x:v>
      </x:c>
    </x:row>
    <x:row r="30">
      <x:c r="A30" s="17" t="str">
        <x:v>Maximum velocity</x:v>
      </x:c>
      <x:c r="B30" s="20" t="n">
        <x:f>MAX(K5:K24)</x:f>
        <x:v>0.30777790093404395</x:v>
      </x:c>
      <x:c r="C30" s="17" t="str">
        <x:v>m/s</x:v>
      </x:c>
    </x:row>
    <x:row r="31">
      <x:c r="A31" s="37" t="str">
        <x:v>How to add</x:v>
      </x:c>
      <x:c r="B31" s="37" t="str">
        <x:v>Set Active=Y in the next blank row, then enter length, ID, roughness, K_each/Qty or Add_K.</x:v>
      </x:c>
      <x:c r="C31" s="37" t="str"/>
    </x:row>
  </x:sheetData>
  <x:mergeCells>
    <x:mergeCell ref="A1:H1"/>
    <x:mergeCell ref="A2:H2"/>
  </x:mergeCells>
  <x:dataValidations count="1">
    <x:dataValidation type="list" sqref="A5:A24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8.170000076293945" hidden="0" customWidth="1"/>
    <x:col min="3" max="3" width="11.4399995803833" hidden="0" customWidth="1"/>
    <x:col min="4" max="4" width="69.30999755859375" hidden="0" customWidth="1"/>
    <x:col min="5" max="5" width="2.0199999809265137" hidden="0" customWidth="1"/>
    <x:col min="6" max="6" width="2.0199999809265137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NPSH and Boundary Calculation</x:v>
      </x:c>
      <x:c r="B1" s="3" t="str">
        <x:v>NPSH and Boundary Calculation</x:v>
      </x:c>
      <x:c r="C1" s="3" t="str">
        <x:v>NPSH and Boundary Calculation</x:v>
      </x:c>
      <x:c r="D1" s="3" t="str">
        <x:v>NPSH and Boundary Calculation</x:v>
      </x:c>
      <x:c r="E1" s="3" t="str">
        <x:v>NPSH and Boundary Calculation</x:v>
      </x:c>
      <x:c r="F1" s="3" t="str">
        <x:v>NPSH and Boundary Calculation</x:v>
      </x:c>
      <x:c r="G1" s="3" t="str">
        <x:v>NPSH and Boundary Calculation</x:v>
      </x:c>
      <x:c r="H1" s="3" t="str">
        <x:v>NPSH and Boundary Calculation</x:v>
      </x:c>
    </x:row>
    <x:row r="2">
      <x:c r="A2" s="6" t="str">
        <x:v>Live calculation sheet: source head, suction loss, NPSHa/NPSHr comparison, pump head, sink required pressure, and status.</x:v>
      </x:c>
      <x:c r="B2" s="6" t="str">
        <x:v>Live calculation sheet: source head, suction loss, NPSHa/NPSHr comparison, pump head, sink required pressure, and status.</x:v>
      </x:c>
      <x:c r="C2" s="6" t="str">
        <x:v>Live calculation sheet: source head, suction loss, NPSHa/NPSHr comparison, pump head, sink required pressure, and status.</x:v>
      </x:c>
      <x:c r="D2" s="6" t="str">
        <x:v>Live calculation sheet: source head, suction loss, NPSHa/NPSHr comparison, pump head, sink required pressure, and status.</x:v>
      </x:c>
      <x:c r="E2" s="6" t="str">
        <x:v>Live calculation sheet: source head, suction loss, NPSHa/NPSHr comparison, pump head, sink required pressure, and status.</x:v>
      </x:c>
      <x:c r="F2" s="6" t="str">
        <x:v>Live calculation sheet: source head, suction loss, NPSHa/NPSHr comparison, pump head, sink required pressure, and status.</x:v>
      </x:c>
      <x:c r="G2" s="6" t="str">
        <x:v>Live calculation sheet: source head, suction loss, NPSHa/NPSHr comparison, pump head, sink required pressure, and status.</x:v>
      </x:c>
      <x:c r="H2" s="6" t="str">
        <x:v>Live calculation sheet: source head, suction loss, NPSHa/NPSHr comparison, pump head, sink required pressure, and status.</x:v>
      </x:c>
    </x:row>
    <x:row r="3">
      <x:c r="A3" s="9" t="str">
        <x:v>Calculation item</x:v>
      </x:c>
      <x:c r="B3" s="9" t="str">
        <x:v>Live value</x:v>
      </x:c>
      <x:c r="C3" s="9" t="str">
        <x:v>Unit</x:v>
      </x:c>
      <x:c r="D3" s="9" t="str">
        <x:v>Formula basis</x:v>
      </x:c>
    </x:row>
    <x:row r="4">
      <x:c r="A4" s="39" t="str">
        <x:v>Flow evaluated</x:v>
      </x:c>
      <x:c r="B4" s="29" t="n">
        <x:f>Inputs!$B$17</x:f>
        <x:v>9.1</x:v>
      </x:c>
      <x:c r="C4" s="39" t="str">
        <x:v>m3/h</x:v>
      </x:c>
      <x:c r="D4" s="39" t="str">
        <x:v>Inputs!B17</x:v>
      </x:c>
    </x:row>
    <x:row r="5">
      <x:c r="A5" s="39" t="str">
        <x:v>Density</x:v>
      </x:c>
      <x:c r="B5" s="29" t="n">
        <x:f>Inputs!$B$5</x:f>
        <x:v>997.047</x:v>
      </x:c>
      <x:c r="C5" s="39" t="str">
        <x:v>kg/m3</x:v>
      </x:c>
      <x:c r="D5" s="39" t="str">
        <x:v>Inputs!B5</x:v>
      </x:c>
    </x:row>
    <x:row r="6">
      <x:c r="A6" s="39" t="str">
        <x:v>Vapor pressure</x:v>
      </x:c>
      <x:c r="B6" s="29" t="n">
        <x:f>Inputs!$B$7</x:f>
        <x:v>0.032</x:v>
      </x:c>
      <x:c r="C6" s="39" t="str">
        <x:v>bar a</x:v>
      </x:c>
      <x:c r="D6" s="39" t="str">
        <x:v>Inputs!B7</x:v>
      </x:c>
    </x:row>
    <x:row r="7">
      <x:c r="A7" s="39" t="str">
        <x:v>Source pressure head</x:v>
      </x:c>
      <x:c r="B7" s="29" t="n">
        <x:f>Inputs!$B$14*100000/(Inputs!$B$5*Inputs!$B$8)</x:f>
        <x:v>10.356781332665777</x:v>
      </x:c>
      <x:c r="C7" s="39" t="str">
        <x:v>m</x:v>
      </x:c>
      <x:c r="D7" s="39" t="str">
        <x:v>Psrc_abs x 100000 / (rho x g)</x:v>
      </x:c>
    </x:row>
    <x:row r="8">
      <x:c r="A8" s="39" t="str">
        <x:v>Vapor pressure head</x:v>
      </x:c>
      <x:c r="B8" s="29" t="n">
        <x:f>Inputs!$B$7*100000/(Inputs!$B$5*Inputs!$B$8)</x:f>
        <x:v>0.32716387230533556</x:v>
      </x:c>
      <x:c r="C8" s="39" t="str">
        <x:v>m</x:v>
      </x:c>
      <x:c r="D8" s="39" t="str">
        <x:v>Pv_abs x 100000 / (rho x g)</x:v>
      </x:c>
    </x:row>
    <x:row r="9">
      <x:c r="A9" s="39" t="str">
        <x:v>Source elevation</x:v>
      </x:c>
      <x:c r="B9" s="29" t="n">
        <x:f>Inputs!$B$15</x:f>
        <x:v>0</x:v>
      </x:c>
      <x:c r="C9" s="39" t="str">
        <x:v>m</x:v>
      </x:c>
      <x:c r="D9" s="39" t="str">
        <x:v>zSRC</x:v>
      </x:c>
    </x:row>
    <x:row r="10">
      <x:c r="A10" s="39" t="str">
        <x:v>Pump suction elevation</x:v>
      </x:c>
      <x:c r="B10" s="29" t="n">
        <x:f>Inputs!$B$16</x:f>
        <x:v>0</x:v>
      </x:c>
      <x:c r="C10" s="39" t="str">
        <x:v>m</x:v>
      </x:c>
      <x:c r="D10" s="39" t="str">
        <x:v>zPump</x:v>
      </x:c>
    </x:row>
    <x:row r="11">
      <x:c r="A11" s="39" t="str">
        <x:v>Suction line loss</x:v>
      </x:c>
      <x:c r="B11" s="29" t="n">
        <x:f>SUM(Pipe_Suction!$Q$5:$Q$24)</x:f>
        <x:v>0.013538712890454208</x:v>
      </x:c>
      <x:c r="C11" s="39" t="str">
        <x:v>m</x:v>
      </x:c>
      <x:c r="D11" s="39" t="str">
        <x:v>Sum of suction pipe major + minor losses</x:v>
      </x:c>
    </x:row>
    <x:row r="12">
      <x:c r="A12" s="39" t="str">
        <x:v>NPSHa</x:v>
      </x:c>
      <x:c r="B12" s="29" t="n">
        <x:f>B7+B9-B10-B11-B8</x:f>
        <x:v>10.016078747469987</x:v>
      </x:c>
      <x:c r="C12" s="39" t="str">
        <x:v>m</x:v>
      </x:c>
      <x:c r="D12" s="39" t="str">
        <x:v>Hsrc + zSRC - zPump - hLs - Hv</x:v>
      </x:c>
    </x:row>
    <x:row r="13">
      <x:c r="A13" s="39" t="str">
        <x:v>NPSHr</x:v>
      </x:c>
      <x:c r="B13" s="29" t="n">
        <x:f>IF(Inputs!$B$22="Manual",Inputs!$B$23,Inputs!$B$23*(0.65+0.35*(B4/Inputs!$B$24)^2.2))</x:f>
        <x:v>3</x:v>
      </x:c>
      <x:c r="C13" s="39" t="str">
        <x:v>m</x:v>
      </x:c>
      <x:c r="D13" s="39" t="str">
        <x:v>Manual input or simplified estimated curve</x:v>
      </x:c>
    </x:row>
    <x:row r="14">
      <x:c r="A14" s="39" t="str">
        <x:v>NPSH margin</x:v>
      </x:c>
      <x:c r="B14" s="29" t="n">
        <x:f>B12-B13</x:f>
        <x:v>7.016078747469987</x:v>
      </x:c>
      <x:c r="C14" s="39" t="str">
        <x:v>m</x:v>
      </x:c>
      <x:c r="D14" s="39" t="str">
        <x:v>NPSHa - NPSHr</x:v>
      </x:c>
    </x:row>
    <x:row r="15">
      <x:c r="A15" s="39" t="str">
        <x:v>NPSH ratio</x:v>
      </x:c>
      <x:c r="B15" s="29" t="n">
        <x:f>IF(B13&lt;=0,"",B12/B13)</x:f>
        <x:v>3.3386929158233287</x:v>
      </x:c>
      <x:c r="C15" s="39" t="str">
        <x:v>-</x:v>
      </x:c>
      <x:c r="D15" s="39" t="str">
        <x:v>NPSHa / NPSHr</x:v>
      </x:c>
    </x:row>
    <x:row r="16">
      <x:c r="A16" s="39" t="str">
        <x:v>NPSH status</x:v>
      </x:c>
      <x:c r="B16" s="40" t="str">
        <x:f>IF(B12&lt;=B13,"Cavitation Risk",IF(OR(B14&lt;Inputs!$B$28,B15&lt;Inputs!$B$29),"Warning","Safe"))</x:f>
        <x:v>Safe</x:v>
      </x:c>
      <x:c r="C16" s="39" t="str">
        <x:v>-</x:v>
      </x:c>
      <x:c r="D16" s="39" t="str">
        <x:v>Risk if NPSHa&lt;=NPSHr; Warning if margin or ratio limit fails</x:v>
      </x:c>
    </x:row>
    <x:row r="17">
      <x:c r="A17" s="39" t="str"/>
      <x:c r="B17" s="29" t="str"/>
      <x:c r="C17" s="39" t="str"/>
      <x:c r="D17" s="39" t="str"/>
    </x:row>
    <x:row r="18">
      <x:c r="A18" s="39" t="str">
        <x:v>Pump head from basic curve</x:v>
      </x:c>
      <x:c r="B18" s="29" t="n">
        <x:f>MAX(0,Inputs!$B$25*Inputs!$B$26-(Inputs!$B$25*Inputs!$B$26-Inputs!$B$25)*(B4/Inputs!$B$24)^2)</x:f>
        <x:v>51.097783033399814</x:v>
      </x:c>
      <x:c r="C18" s="39" t="str">
        <x:v>m</x:v>
      </x:c>
      <x:c r="D18" s="39" t="str">
        <x:v>Educational pump curve around design point</x:v>
      </x:c>
    </x:row>
    <x:row r="19">
      <x:c r="A19" s="39" t="str">
        <x:v>BEP flow ratio</x:v>
      </x:c>
      <x:c r="B19" s="29" t="n">
        <x:f>B4/Inputs!$B$24</x:f>
        <x:v>0.9550797649034424</x:v>
      </x:c>
      <x:c r="C19" s="39" t="str">
        <x:v>-</x:v>
      </x:c>
      <x:c r="D19" s="39" t="str">
        <x:v>Q / BEP</x:v>
      </x:c>
    </x:row>
    <x:row r="20">
      <x:c r="A20" s="39" t="str">
        <x:v>Operating region</x:v>
      </x:c>
      <x:c r="B20" s="40" t="str">
        <x:f>IF(OR(B19&lt;Inputs!$B$32/100,B19&gt;Inputs!$B$33/100),"Outside AOR",IF(OR(B19&lt;Inputs!$B$30/100,B19&gt;Inputs!$B$31/100),"Warning: outside POR","Inside POR"))</x:f>
        <x:v>Inside POR</x:v>
      </x:c>
      <x:c r="C20" s="39" t="str">
        <x:v>-</x:v>
      </x:c>
      <x:c r="D20" s="39" t="str">
        <x:v>POR/AOR check</x:v>
      </x:c>
    </x:row>
    <x:row r="21">
      <x:c r="A21" s="39" t="str">
        <x:v>Pump status</x:v>
      </x:c>
      <x:c r="B21" s="40" t="str">
        <x:f>IF(B16="Cavitation Risk","Cavitation Risk",IF(OR(B16="Warning",LEFT(B20,7)="Warning",B20="Outside AOR"),"Warning","Safe"))</x:f>
        <x:v>Safe</x:v>
      </x:c>
      <x:c r="C21" s="39" t="str">
        <x:v>-</x:v>
      </x:c>
      <x:c r="D21" s="39" t="str">
        <x:v>Combines NPSH and operating-region status</x:v>
      </x:c>
    </x:row>
    <x:row r="22">
      <x:c r="A22" s="39" t="str"/>
      <x:c r="B22" s="29" t="str"/>
      <x:c r="C22" s="39" t="str"/>
      <x:c r="D22" s="39" t="str"/>
    </x:row>
    <x:row r="23">
      <x:c r="A23" s="39" t="str">
        <x:v>Discharge line loss</x:v>
      </x:c>
      <x:c r="B23" s="29" t="n">
        <x:f>SUM(Pipe_Discharge!$Q$5:$Q$24)</x:f>
        <x:v>0.40317104168744555</x:v>
      </x:c>
      <x:c r="C23" s="39" t="str">
        <x:v>m</x:v>
      </x:c>
      <x:c r="D23" s="39" t="str">
        <x:v>Sum of discharge pipe major + minor losses</x:v>
      </x:c>
    </x:row>
    <x:row r="24">
      <x:c r="A24" s="39" t="str">
        <x:v>SNK elevation</x:v>
      </x:c>
      <x:c r="B24" s="29" t="n">
        <x:f>Inputs!$B$37</x:f>
        <x:v>50.2</x:v>
      </x:c>
      <x:c r="C24" s="39" t="str">
        <x:v>m</x:v>
      </x:c>
      <x:c r="D24" s="39" t="str">
        <x:v>Outlet terminal elevation</x:v>
      </x:c>
    </x:row>
    <x:row r="25">
      <x:c r="A25" s="39" t="str">
        <x:v>Terminal velocity head</x:v>
      </x:c>
      <x:c r="B25" s="29" t="n">
        <x:f>IFERROR(LOOKUP(2,1/(Pipe_Discharge!$A$5:$A$24="Y"),Pipe_Discharge!$L$5:$L$24),0)</x:f>
        <x:v>0.004828095632179723</x:v>
      </x:c>
      <x:c r="C25" s="39" t="str">
        <x:v>m</x:v>
      </x:c>
      <x:c r="D25" s="39" t="str">
        <x:v>Last active discharge segment velocity head</x:v>
      </x:c>
    </x:row>
    <x:row r="26">
      <x:c r="A26" s="39" t="str">
        <x:v>Required outlet pressure</x:v>
      </x:c>
      <x:c r="B26" s="29" t="n">
        <x:f>(B7+B9-B11+B18-B23-B24-IF(Inputs!$B$40="Static",B25,0))*Inputs!$B$5*Inputs!$B$8/100000</x:f>
        <x:v>1.0595816893371663</x:v>
      </x:c>
      <x:c r="C26" s="39" t="str">
        <x:v>bar a</x:v>
      </x:c>
      <x:c r="D26" s="39" t="str">
        <x:v>Pressure required at SNK for Flow Demand Boundary</x:v>
      </x:c>
    </x:row>
    <x:row r="27">
      <x:c r="A27" s="39" t="str">
        <x:v>Boundary pressure input</x:v>
      </x:c>
      <x:c r="B27" s="29" t="n">
        <x:f>Inputs!$B$38</x:f>
        <x:v>1.013</x:v>
      </x:c>
      <x:c r="C27" s="39" t="str">
        <x:v>bar a</x:v>
      </x:c>
      <x:c r="D27" s="39" t="str">
        <x:v>Reference pressure for Free/Pressure boundary modes</x:v>
      </x:c>
    </x:row>
    <x:row r="28">
      <x:c r="A28" s="39" t="str">
        <x:v>Boundary residual</x:v>
      </x:c>
      <x:c r="B28" s="29" t="n">
        <x:f>IF(Inputs!$B$36="Flow Demand Boundary",0,B26-B27)</x:f>
        <x:v>0</x:v>
      </x:c>
      <x:c r="C28" s="39" t="str">
        <x:v>bar</x:v>
      </x:c>
      <x:c r="D28" s="39" t="str">
        <x:v>Required pressure minus boundary pressure</x:v>
      </x:c>
    </x:row>
    <x:row r="29">
      <x:c r="A29" s="39" t="str">
        <x:v>Boundary status</x:v>
      </x:c>
      <x:c r="B29" s="40" t="str">
        <x:f>IF(Inputs!$B$36="Flow Demand Boundary","Safe",IF(ABS(B28)&gt;0.02,"Warning","Safe"))</x:f>
        <x:v>Safe</x:v>
      </x:c>
      <x:c r="C29" s="39" t="str">
        <x:v>-</x:v>
      </x:c>
      <x:c r="D29" s="39" t="str">
        <x:v>Safe for Flow Demand; pressure modes warn if residual &gt; 0.02 bar</x:v>
      </x:c>
    </x:row>
    <x:row r="30">
      <x:c r="A30" s="39" t="str">
        <x:v>Outlet pressure margin above vapor</x:v>
      </x:c>
      <x:c r="B30" s="40" t="n">
        <x:f>B26-Inputs!$B$7</x:f>
        <x:v>1.0275816893371663</x:v>
      </x:c>
      <x:c r="C30" s="39" t="str">
        <x:v>bar</x:v>
      </x:c>
      <x:c r="D30" s="39" t="str">
        <x:v>Pout required - Pv</x:v>
      </x:c>
    </x:row>
    <x:row r="31">
      <x:c r="A31" s="39" t="str">
        <x:v>Displayed NPSH margin at SNK</x:v>
      </x:c>
      <x:c r="B31" s="40" t="n">
        <x:f>B14</x:f>
        <x:v>7.016078747469987</x:v>
      </x:c>
      <x:c r="C31" s="39" t="str">
        <x:v>m</x:v>
      </x:c>
      <x:c r="D31" s="39" t="str">
        <x:v>Same NPSH margin reported to downstream boundary label</x:v>
      </x:c>
    </x:row>
    <x:row r="32">
      <x:c r="A32" s="39" t="str">
        <x:v>Overall system status</x:v>
      </x:c>
      <x:c r="B32" s="40" t="str">
        <x:f>IF(OR(B16="Cavitation Risk",B30&lt;=0),"Cavitation Risk",IF(OR(B21="Warning",B29="Warning"),"Warning","Safe"))</x:f>
        <x:v>Safe</x:v>
      </x:c>
      <x:c r="C32" s="39" t="str">
        <x:v>-</x:v>
      </x:c>
      <x:c r="D32" s="39" t="str">
        <x:v>Cavitation Risk &gt; Warning &gt; Safe</x:v>
      </x:c>
    </x:row>
  </x:sheetData>
  <x:mergeCells>
    <x:mergeCell ref="A1:H1"/>
    <x:mergeCell ref="A2:H2"/>
  </x:mergeCells>
  <x:conditionalFormatting sqref="B16:B32">
    <x:cfRule type="containsText" dxfId="0" priority="1" operator="containsText" text="Safe"/>
    <x:cfRule type="containsText" dxfId="1" priority="2" operator="containsText" text="Warning"/>
    <x:cfRule type="containsText" dxfId="2" priority="3" operator="containsText" text="Cavitation Risk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7.5" hidden="0" customWidth="1"/>
    <x:col min="3" max="3" width="39.70000076293945" hidden="0" customWidth="1"/>
    <x:col min="4" max="4" width="42.400001525878906" hidden="0" customWidth="1"/>
    <x:col min="5" max="5" width="15.479999542236328" hidden="0" customWidth="1"/>
    <x:col min="6" max="6" width="55.849998474121094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Route and Calculation Trace</x:v>
      </x:c>
      <x:c r="B1" s="3" t="str">
        <x:v>Route and Calculation Trace</x:v>
      </x:c>
      <x:c r="C1" s="3" t="str">
        <x:v>Route and Calculation Trace</x:v>
      </x:c>
      <x:c r="D1" s="3" t="str">
        <x:v>Route and Calculation Trace</x:v>
      </x:c>
      <x:c r="E1" s="3" t="str">
        <x:v>Route and Calculation Trace</x:v>
      </x:c>
      <x:c r="F1" s="3" t="str">
        <x:v>Route and Calculation Trace</x:v>
      </x:c>
      <x:c r="G1" s="3" t="str">
        <x:v>Route and Calculation Trace</x:v>
      </x:c>
      <x:c r="H1" s="3" t="str">
        <x:v>Route and Calculation Trace</x:v>
      </x:c>
    </x:row>
    <x:row r="2">
      <x:c r="A2" s="6" t="str">
        <x:v>Readable step-by-step report for demonstrating the same calculation path used by the workbook.</x:v>
      </x:c>
      <x:c r="B2" s="6" t="str">
        <x:v>Readable step-by-step report for demonstrating the same calculation path used by the workbook.</x:v>
      </x:c>
      <x:c r="C2" s="6" t="str">
        <x:v>Readable step-by-step report for demonstrating the same calculation path used by the workbook.</x:v>
      </x:c>
      <x:c r="D2" s="6" t="str">
        <x:v>Readable step-by-step report for demonstrating the same calculation path used by the workbook.</x:v>
      </x:c>
      <x:c r="E2" s="6" t="str">
        <x:v>Readable step-by-step report for demonstrating the same calculation path used by the workbook.</x:v>
      </x:c>
      <x:c r="F2" s="6" t="str">
        <x:v>Readable step-by-step report for demonstrating the same calculation path used by the workbook.</x:v>
      </x:c>
      <x:c r="G2" s="6" t="str">
        <x:v>Readable step-by-step report for demonstrating the same calculation path used by the workbook.</x:v>
      </x:c>
      <x:c r="H2" s="6" t="str">
        <x:v>Readable step-by-step report for demonstrating the same calculation path used by the workbook.</x:v>
      </x:c>
    </x:row>
    <x:row r="3">
      <x:c r="A3" s="9" t="str">
        <x:v>Step</x:v>
      </x:c>
      <x:c r="B3" s="9" t="str">
        <x:v>Route object</x:v>
      </x:c>
      <x:c r="C3" s="9" t="str">
        <x:v>Equation / dependency</x:v>
      </x:c>
      <x:c r="D3" s="9" t="str">
        <x:v>Live reference</x:v>
      </x:c>
      <x:c r="E3" s="9" t="str">
        <x:v>Result</x:v>
      </x:c>
      <x:c r="F3" s="9" t="str">
        <x:v>Interpretation</x:v>
      </x:c>
    </x:row>
    <x:row r="4">
      <x:c r="A4" s="39" t="n">
        <x:v>1</x:v>
      </x:c>
      <x:c r="B4" s="39" t="str">
        <x:v>Fluid Basis</x:v>
      </x:c>
      <x:c r="C4" s="39" t="str">
        <x:v>rho, mu, and vapor pressure are taken from the active fluid basis.</x:v>
      </x:c>
      <x:c r="D4" s="39" t="str">
        <x:v>Inputs!B5:B7</x:v>
      </x:c>
      <x:c r="E4" s="29" t="n">
        <x:f>Inputs!$B$5</x:f>
        <x:v>997.047</x:v>
      </x:c>
      <x:c r="F4" s="39" t="str">
        <x:v>Higher vapor pressure reduces NPSHa and increases cavitation tendency.</x:v>
      </x:c>
    </x:row>
    <x:row r="5">
      <x:c r="A5" s="39" t="n">
        <x:v>2</x:v>
      </x:c>
      <x:c r="B5" s="39" t="str">
        <x:v>SRC-100</x:v>
      </x:c>
      <x:c r="C5" s="39" t="str">
        <x:v>Hsrc = Psrc_abs x 100000 / (rho x g).</x:v>
      </x:c>
      <x:c r="D5" s="39" t="str">
        <x:v>NPSH_Calc!B7</x:v>
      </x:c>
      <x:c r="E5" s="29" t="n">
        <x:f>NPSH_Calc!$B$7</x:f>
        <x:v>10.356781332665777</x:v>
      </x:c>
      <x:c r="F5" s="39" t="str">
        <x:v>This is the pressure head available at the source boundary.</x:v>
      </x:c>
    </x:row>
    <x:row r="6">
      <x:c r="A6" s="39" t="n">
        <x:v>3</x:v>
      </x:c>
      <x:c r="B6" s="39" t="str">
        <x:v>PIPE-1</x:v>
      </x:c>
      <x:c r="C6" s="39" t="str">
        <x:v>hLs = sum[f(L/D)(V^2/2g) + K(V^2/2g)].</x:v>
      </x:c>
      <x:c r="D6" s="39" t="str">
        <x:v>Pipe_Suction!Q5:Q24</x:v>
      </x:c>
      <x:c r="E6" s="29" t="n">
        <x:f>NPSH_Calc!$B$11</x:f>
        <x:v>0.013538712890454208</x:v>
      </x:c>
      <x:c r="F6" s="39" t="str">
        <x:v>Suction-route loss directly subtracts from NPSHa.</x:v>
      </x:c>
    </x:row>
    <x:row r="7">
      <x:c r="A7" s="39" t="n">
        <x:v>4</x:v>
      </x:c>
      <x:c r="B7" s="39" t="str">
        <x:v>Pump suction</x:v>
      </x:c>
      <x:c r="C7" s="39" t="str">
        <x:v>NPSHa = Hsrc + zSRC - zPump - hLs - Hv.</x:v>
      </x:c>
      <x:c r="D7" s="39" t="str">
        <x:v>NPSH_Calc!B12</x:v>
      </x:c>
      <x:c r="E7" s="29" t="n">
        <x:f>NPSH_Calc!$B$12</x:f>
        <x:v>10.016078747469987</x:v>
      </x:c>
      <x:c r="F7" s="39" t="str">
        <x:v>This is the available suction head above vapor pressure.</x:v>
      </x:c>
    </x:row>
    <x:row r="8">
      <x:c r="A8" s="39" t="n">
        <x:v>5</x:v>
      </x:c>
      <x:c r="B8" s="39" t="str">
        <x:v>P-100</x:v>
      </x:c>
      <x:c r="C8" s="39" t="str">
        <x:v>NPSH margin = NPSHa - NPSHr; ratio = NPSHa/NPSHr.</x:v>
      </x:c>
      <x:c r="D8" s="39" t="str">
        <x:v>NPSH_Calc!B14:B15</x:v>
      </x:c>
      <x:c r="E8" s="29" t="n">
        <x:f>NPSH_Calc!$B$14</x:f>
        <x:v>7.016078747469987</x:v>
      </x:c>
      <x:c r="F8" s="39" t="str">
        <x:v>Safe when margin and ratio satisfy the configured limits.</x:v>
      </x:c>
    </x:row>
    <x:row r="9">
      <x:c r="A9" s="39" t="n">
        <x:v>6</x:v>
      </x:c>
      <x:c r="B9" s="39" t="str">
        <x:v>P-100</x:v>
      </x:c>
      <x:c r="C9" s="39" t="str">
        <x:v>Pump head is evaluated from the educational basic pump curve.</x:v>
      </x:c>
      <x:c r="D9" s="39" t="str">
        <x:v>NPSH_Calc!B18</x:v>
      </x:c>
      <x:c r="E9" s="29" t="n">
        <x:f>NPSH_Calc!$B$18</x:f>
        <x:v>51.097783033399814</x:v>
      </x:c>
      <x:c r="F9" s="39" t="str">
        <x:v>Head must cover static lift, discharge loss, and outlet pressure requirement.</x:v>
      </x:c>
    </x:row>
    <x:row r="10">
      <x:c r="A10" s="39" t="n">
        <x:v>7</x:v>
      </x:c>
      <x:c r="B10" s="39" t="str">
        <x:v>PIPE-2</x:v>
      </x:c>
      <x:c r="C10" s="39" t="str">
        <x:v>hLd = sum discharge major and minor losses.</x:v>
      </x:c>
      <x:c r="D10" s="39" t="str">
        <x:v>Pipe_Discharge!Q5:Q24</x:v>
      </x:c>
      <x:c r="E10" s="29" t="n">
        <x:f>NPSH_Calc!$B$23</x:f>
        <x:v>0.40317104168744555</x:v>
      </x:c>
      <x:c r="F10" s="39" t="str">
        <x:v>Discharge loss does not directly subtract from NPSHa but affects head/pressure balance.</x:v>
      </x:c>
    </x:row>
    <x:row r="11">
      <x:c r="A11" s="39" t="n">
        <x:v>8</x:v>
      </x:c>
      <x:c r="B11" s="39" t="str">
        <x:v>SNK-100</x:v>
      </x:c>
      <x:c r="C11" s="39" t="str">
        <x:v>Flow Demand Boundary fixes Qdem and reports required pressure.</x:v>
      </x:c>
      <x:c r="D11" s="39" t="str">
        <x:v>Inputs!B36:B39</x:v>
      </x:c>
      <x:c r="E11" s="29" t="n">
        <x:f>Inputs!$B$39</x:f>
        <x:v>9.1</x:v>
      </x:c>
      <x:c r="F11" s="39" t="str">
        <x:v>This avoids pressure-residual warning when the thesis scenario is flow-demand based.</x:v>
      </x:c>
    </x:row>
    <x:row r="12">
      <x:c r="A12" s="39" t="n">
        <x:v>9</x:v>
      </x:c>
      <x:c r="B12" s="39" t="str">
        <x:v>SNK-100</x:v>
      </x:c>
      <x:c r="C12" s="39" t="str">
        <x:v>Preq = (Hsrc + zSRC - hLs + Hpump - hLd - zSNK - Hv_terminal)rho g.</x:v>
      </x:c>
      <x:c r="D12" s="39" t="str">
        <x:v>NPSH_Calc!B26</x:v>
      </x:c>
      <x:c r="E12" s="29" t="n">
        <x:f>NPSH_Calc!$B$26</x:f>
        <x:v>1.0595816893371663</x:v>
      </x:c>
      <x:c r="F12" s="39" t="str">
        <x:v>Required outlet pressure is a consequence, not an independent constraint in Flow Demand mode.</x:v>
      </x:c>
    </x:row>
    <x:row r="13">
      <x:c r="A13" s="39" t="n">
        <x:v>10</x:v>
      </x:c>
      <x:c r="B13" s="39" t="str">
        <x:v>SNK-100</x:v>
      </x:c>
      <x:c r="C13" s="39" t="str">
        <x:v>Pout - Pv checks outlet pressure margin above vapor pressure.</x:v>
      </x:c>
      <x:c r="D13" s="39" t="str">
        <x:v>NPSH_Calc!B30</x:v>
      </x:c>
      <x:c r="E13" s="29" t="n">
        <x:f>NPSH_Calc!$B$30</x:f>
        <x:v>1.0275816893371663</x:v>
      </x:c>
      <x:c r="F13" s="39" t="str">
        <x:v>Positive margin supports single-phase outlet condition.</x:v>
      </x:c>
    </x:row>
    <x:row r="14">
      <x:c r="A14" s="39" t="n">
        <x:v>11</x:v>
      </x:c>
      <x:c r="B14" s="39" t="str">
        <x:v>System</x:v>
      </x:c>
      <x:c r="C14" s="39" t="str">
        <x:v>Overall status aggregates cavitation, pump operating limits, and boundary residual.</x:v>
      </x:c>
      <x:c r="D14" s="39" t="str">
        <x:v>NPSH_Calc!B32</x:v>
      </x:c>
      <x:c r="E14" s="29" t="str">
        <x:f>NPSH_Calc!$B$32</x:f>
        <x:v>Safe</x:v>
      </x:c>
      <x:c r="F14" s="39" t="str">
        <x:v>Use this row as the workbook's final risk indication.</x:v>
      </x:c>
    </x:row>
    <x:row r="15">
      <x:c r="A15" s="39" t="n">
        <x:v>12</x:v>
      </x:c>
      <x:c r="B15" s="39" t="str">
        <x:v>User action</x:v>
      </x:c>
      <x:c r="C15" s="39" t="str">
        <x:v>To add a pipe segment, set Active=Y in the next blank Pipe_Suction or Pipe_Discharge row.</x:v>
      </x:c>
      <x:c r="D15" s="39" t="str">
        <x:v>Pipe sheets row 5:24</x:v>
      </x:c>
      <x:c r="E15" s="29"/>
      <x:c r="F15" s="39" t="str">
        <x:v>The formulas are already filled down for additional segments.</x:v>
      </x:c>
    </x:row>
  </x:sheetData>
  <x:mergeCells>
    <x:mergeCell ref="A1:H1"/>
    <x:mergeCell ref="A2:H2"/>
  </x:mergeCells>
  <x:conditionalFormatting sqref="E14:E14">
    <x:cfRule type="containsText" dxfId="3" priority="1" operator="containsText" text="Safe"/>
    <x:cfRule type="containsText" dxfId="4" priority="2" operator="containsText" text="Warning"/>
    <x:cfRule type="containsText" dxfId="5" priority="3" operator="containsText" text="Cavitation Ris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32.970001220703125" hidden="0" customWidth="1"/>
    <x:col min="3" max="3" width="30.280000686645508" hidden="0" customWidth="1"/>
    <x:col min="4" max="4" width="51.81999969482422" hidden="0" customWidth="1"/>
    <x:col min="5" max="5" width="2.0199999809265137" hidden="0" customWidth="1"/>
    <x:col min="6" max="6" width="2.0199999809265137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Scenario Guide and Operating Guidance</x:v>
      </x:c>
      <x:c r="B1" s="3" t="str">
        <x:v>Scenario Guide and Operating Guidance</x:v>
      </x:c>
      <x:c r="C1" s="3" t="str">
        <x:v>Scenario Guide and Operating Guidance</x:v>
      </x:c>
      <x:c r="D1" s="3" t="str">
        <x:v>Scenario Guide and Operating Guidance</x:v>
      </x:c>
      <x:c r="E1" s="3" t="str">
        <x:v>Scenario Guide and Operating Guidance</x:v>
      </x:c>
      <x:c r="F1" s="3" t="str">
        <x:v>Scenario Guide and Operating Guidance</x:v>
      </x:c>
      <x:c r="G1" s="3" t="str">
        <x:v>Scenario Guide and Operating Guidance</x:v>
      </x:c>
      <x:c r="H1" s="3" t="str">
        <x:v>Scenario Guide and Operating Guidance</x:v>
      </x:c>
    </x:row>
    <x:row r="2">
      <x:c r="A2" s="6" t="str">
        <x:v>Academic guide for demonstrating safe operation, warning conditions, and cavitation-risk simulation.</x:v>
      </x:c>
      <x:c r="B2" s="6" t="str">
        <x:v>Academic guide for demonstrating safe operation, warning conditions, and cavitation-risk simulation.</x:v>
      </x:c>
      <x:c r="C2" s="6" t="str">
        <x:v>Academic guide for demonstrating safe operation, warning conditions, and cavitation-risk simulation.</x:v>
      </x:c>
      <x:c r="D2" s="6" t="str">
        <x:v>Academic guide for demonstrating safe operation, warning conditions, and cavitation-risk simulation.</x:v>
      </x:c>
      <x:c r="E2" s="6" t="str">
        <x:v>Academic guide for demonstrating safe operation, warning conditions, and cavitation-risk simulation.</x:v>
      </x:c>
      <x:c r="F2" s="6" t="str">
        <x:v>Academic guide for demonstrating safe operation, warning conditions, and cavitation-risk simulation.</x:v>
      </x:c>
      <x:c r="G2" s="6" t="str">
        <x:v>Academic guide for demonstrating safe operation, warning conditions, and cavitation-risk simulation.</x:v>
      </x:c>
      <x:c r="H2" s="6" t="str">
        <x:v>Academic guide for demonstrating safe operation, warning conditions, and cavitation-risk simulation.</x:v>
      </x:c>
    </x:row>
    <x:row r="3">
      <x:c r="A3" s="9" t="str">
        <x:v>Topic</x:v>
      </x:c>
      <x:c r="B3" s="9" t="str">
        <x:v>Recommended setting/action</x:v>
      </x:c>
      <x:c r="C3" s="9" t="str">
        <x:v>Why it matters</x:v>
      </x:c>
      <x:c r="D3" s="9" t="str">
        <x:v>How to use in this workbook</x:v>
      </x:c>
    </x:row>
    <x:row r="4">
      <x:c r="A4" s="39" t="str">
        <x:v>Baseline safe case</x:v>
      </x:c>
      <x:c r="B4" s="39" t="str">
        <x:v>Keep SRC as Standalone Boundary Source and Flow Input Mode as Solve from Network.</x:v>
      </x:c>
      <x:c r="C4" s="39" t="str">
        <x:v>The source supplies pressure/head while the pump and route determine operating flow.</x:v>
      </x:c>
      <x:c r="D4" s="39" t="str">
        <x:v>Inputs!B12:B17 match the current safe screenshot case.</x:v>
      </x:c>
    </x:row>
    <x:row r="5">
      <x:c r="A5" s="39" t="str">
        <x:v>SNK boundary</x:v>
      </x:c>
      <x:c r="B5" s="39" t="str">
        <x:v>Use Flow Demand Boundary with demand flow equal to evaluated flow.</x:v>
      </x:c>
      <x:c r="C5" s="39" t="str">
        <x:v>The sink is a Fluid Out boundary; it should receive the solved/demanded flow and report required pressure.</x:v>
      </x:c>
      <x:c r="D5" s="39" t="str">
        <x:v>Inputs!B36 = Flow Demand Boundary; Inputs!B39 links to Inputs!B17.</x:v>
      </x:c>
    </x:row>
    <x:row r="6">
      <x:c r="A6" s="39" t="str">
        <x:v>Avoid cavitation risk</x:v>
      </x:c>
      <x:c r="B6" s="39" t="str">
        <x:v>Maintain NPSHa &gt; NPSHr, margin &gt;= 0.5 m, and ratio &gt;= 1.1.</x:v>
      </x:c>
      <x:c r="C6" s="39" t="str">
        <x:v>Cavitation risk begins when available suction head falls to the pump required NPSH.</x:v>
      </x:c>
      <x:c r="D6" s="39" t="str">
        <x:v>Check Dashboard and NPSH_Calc rows 12:16.</x:v>
      </x:c>
    </x:row>
    <x:row r="7">
      <x:c r="A7" s="39" t="str">
        <x:v>Most effective safe correction</x:v>
      </x:c>
      <x:c r="B7" s="39" t="str">
        <x:v>Increase source pressure/head or reduce suction-side loss before changing discharge assumptions.</x:v>
      </x:c>
      <x:c r="C7" s="39" t="str">
        <x:v>Only the suction boundary and suction losses directly control NPSHa.</x:v>
      </x:c>
      <x:c r="D7" s="39" t="str">
        <x:v>Raise Inputs!B14 or zSRC, increase suction ID, shorten suction pipe, or reduce suction Add_K.</x:v>
      </x:c>
    </x:row>
    <x:row r="8">
      <x:c r="A8" s="39" t="str">
        <x:v>Do not hide a warning</x:v>
      </x:c>
      <x:c r="B8" s="39" t="str">
        <x:v>Do not lower NPSHr just to clear warning unless supported by manufacturer/test data.</x:v>
      </x:c>
      <x:c r="C8" s="39" t="str">
        <x:v>NPSHr is a pump characteristic, not a system tuning knob.</x:v>
      </x:c>
      <x:c r="D8" s="39" t="str">
        <x:v>Use Manual NPSHr only when supported by a datasheet or validation scenario.</x:v>
      </x:c>
    </x:row>
    <x:row r="9">
      <x:c r="A9" s="39" t="str">
        <x:v>Pipe segment add rule</x:v>
      </x:c>
      <x:c r="B9" s="39" t="str">
        <x:v>Set Active=Y in the next blank pipe row and fill Length, ID, roughness, and K input.</x:v>
      </x:c>
      <x:c r="C9" s="39" t="str">
        <x:v>Rows are pre-formulated; active rows are automatically included in losses.</x:v>
      </x:c>
      <x:c r="D9" s="39" t="str">
        <x:v>Use Pipe_Suction for upstream pump losses; Pipe_Discharge for downstream losses.</x:v>
      </x:c>
    </x:row>
    <x:row r="10">
      <x:c r="A10" s="39" t="str">
        <x:v>Add_K rule</x:v>
      </x:c>
      <x:c r="B10" s="39" t="str">
        <x:v>If Add_K is greater than zero, it overrides K_each x Qty.</x:v>
      </x:c>
      <x:c r="C10" s="39" t="str">
        <x:v>This matches the application logic requested during our discussion.</x:v>
      </x:c>
      <x:c r="D10" s="39" t="str">
        <x:v>Set Add_K for combined fittings/valves; leave Add_K at 0 to use K_each and Qty.</x:v>
      </x:c>
    </x:row>
    <x:row r="11">
      <x:c r="A11" s="39" t="str">
        <x:v>Cavitation risk demo</x:v>
      </x:c>
      <x:c r="B11" s="39" t="str">
        <x:v>For demonstration only, reduce source pressure abs to 0.25 bar a.</x:v>
      </x:c>
      <x:c r="C11" s="39" t="str">
        <x:v>This lowers pressure head and makes NPSHa approach/fall below NPSHr.</x:v>
      </x:c>
      <x:c r="D11" s="39" t="str">
        <x:v>Change Inputs!B14, observe Dashboard status, then restore 1.013 bar a.</x:v>
      </x:c>
    </x:row>
    <x:row r="12">
      <x:c r="A12" s="39" t="str">
        <x:v>Suction-loss risk demo</x:v>
      </x:c>
      <x:c r="B12" s="39" t="str">
        <x:v>Alternatively, keep pressure normal and add very high suction Add_K.</x:v>
      </x:c>
      <x:c r="C12" s="39" t="str">
        <x:v>This shows how fittings/valves in suction consume NPSHa.</x:v>
      </x:c>
      <x:c r="D12" s="39" t="str">
        <x:v>Set Pipe_Suction H5 to a high value, then restore 0.</x:v>
      </x:c>
    </x:row>
    <x:row r="13">
      <x:c r="A13" s="39" t="str">
        <x:v>Discharge changes</x:v>
      </x:c>
      <x:c r="B13" s="39" t="str">
        <x:v>Changing SNK elevation/discharge loss changes pump head balance and required outlet pressure.</x:v>
      </x:c>
      <x:c r="C13" s="39" t="str">
        <x:v>Discharge losses affect operating point and pressure balance, but do not directly subtract from NPSHa.</x:v>
      </x:c>
      <x:c r="D13" s="39" t="str">
        <x:v>Review NPSH_Calc rows 23:30.</x:v>
      </x:c>
    </x:row>
    <x:row r="14">
      <x:c r="A14" s="39" t="str">
        <x:v>Free outlet caution</x:v>
      </x:c>
      <x:c r="B14" s="39" t="str">
        <x:v>Use Free Outlet only when atmospheric pressure and elevation/head balance are physically consistent.</x:v>
      </x:c>
      <x:c r="C14" s="39" t="str">
        <x:v>Otherwise the workbook/app may report a boundary residual warning.</x:v>
      </x:c>
      <x:c r="D14" s="39" t="str">
        <x:v>For thesis flow-demand cases, Flow Demand Boundary is cleaner.</x:v>
      </x:c>
    </x:row>
    <x:row r="15">
      <x:c r="A15" s="39" t="str">
        <x:v>Academic limitation</x:v>
      </x:c>
      <x:c r="B15" s="39" t="str">
        <x:v>Treat this workbook as a transparent educational screening model.</x:v>
      </x:c>
      <x:c r="C15" s="39" t="str">
        <x:v>Final design requires manufacturer pump curve, verified pipe class, fitting K data, and project-specific margins.</x:v>
      </x:c>
      <x:c r="D15" s="39" t="str">
        <x:v>Record final assumptions in References and Route_Trace before presentation.</x:v>
      </x:c>
    </x:row>
    <x:row r="16">
      <x:c r="A16" s="39" t="str">
        <x:v>Warning removal checklist</x:v>
      </x:c>
      <x:c r="B16" s="39" t="str">
        <x:v>1) Check NPSH status. 2) Check operating region. 3) Check boundary residual. 4) Check Pout-Pv.</x:v>
      </x:c>
      <x:c r="C16" s="39" t="str">
        <x:v>A pump can have safe NPSH but still warn from operating limits or boundary inconsistency.</x:v>
      </x:c>
      <x:c r="D16" s="39" t="str">
        <x:v>Use NPSH_Calc rows 16, 20, 29, 30, and 32.</x:v>
      </x:c>
    </x:row>
    <x:row r="17">
      <x:c r="A17" s="39" t="str">
        <x:v>Recommended thesis demonstration</x:v>
      </x:c>
      <x:c r="B17" s="39" t="str">
        <x:v>Show the baseline safe case, then intentionally lower source pressure to create Cavitation Risk, then restore the safe case.</x:v>
      </x:c>
      <x:c r="C17" s="39" t="str">
        <x:v>This demonstrates causality without changing unrelated model logic.</x:v>
      </x:c>
      <x:c r="D17" s="39" t="str">
        <x:v>Use Dashboard chart plus Route_Trace rows 1:11.</x:v>
      </x:c>
    </x:row>
    <x:row r="18">
      <x:c r="A18" s="39" t="str">
        <x:v>Final acceptance</x:v>
      </x:c>
      <x:c r="B18" s="39" t="str">
        <x:v>Overall status should read Safe.</x:v>
      </x:c>
      <x:c r="C18" s="39" t="str">
        <x:v>This means NPSH and boundary checks are internally consistent for the configured scenario.</x:v>
      </x:c>
      <x:c r="D18" s="39" t="str">
        <x:v>Dashboard!B4 and NPSH_Calc!B32 should both show Safe.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63.93000030517578" hidden="0" customWidth="1"/>
    <x:col min="3" max="3" width="50.470001220703125" hidden="0" customWidth="1"/>
    <x:col min="4" max="4" width="2.0199999809265137" hidden="0" customWidth="1"/>
    <x:col min="5" max="5" width="2.0199999809265137" hidden="0" customWidth="1"/>
    <x:col min="6" max="6" width="2.0199999809265137" hidden="0" customWidth="1"/>
    <x:col min="7" max="7" width="2.0199999809265137" hidden="0" customWidth="1"/>
    <x:col min="8" max="8" width="2.0199999809265137" hidden="0" customWidth="1"/>
  </x:cols>
  <x:sheetData>
    <x:row r="1">
      <x:c r="A1" s="3" t="str">
        <x:v>References and Formula Basis</x:v>
      </x:c>
      <x:c r="B1" s="3" t="str">
        <x:v>References and Formula Basis</x:v>
      </x:c>
      <x:c r="C1" s="3" t="str">
        <x:v>References and Formula Basis</x:v>
      </x:c>
      <x:c r="D1" s="3" t="str">
        <x:v>References and Formula Basis</x:v>
      </x:c>
      <x:c r="E1" s="3" t="str">
        <x:v>References and Formula Basis</x:v>
      </x:c>
      <x:c r="F1" s="3" t="str">
        <x:v>References and Formula Basis</x:v>
      </x:c>
      <x:c r="G1" s="3" t="str">
        <x:v>References and Formula Basis</x:v>
      </x:c>
      <x:c r="H1" s="3" t="str">
        <x:v>References and Formula Basis</x:v>
      </x:c>
    </x:row>
    <x:row r="2">
      <x:c r="A2" s="6" t="str">
        <x:v>Local thesis references and open technical references used for the workbook equations.</x:v>
      </x:c>
      <x:c r="B2" s="6" t="str">
        <x:v>Local thesis references and open technical references used for the workbook equations.</x:v>
      </x:c>
      <x:c r="C2" s="6" t="str">
        <x:v>Local thesis references and open technical references used for the workbook equations.</x:v>
      </x:c>
      <x:c r="D2" s="6" t="str">
        <x:v>Local thesis references and open technical references used for the workbook equations.</x:v>
      </x:c>
      <x:c r="E2" s="6" t="str">
        <x:v>Local thesis references and open technical references used for the workbook equations.</x:v>
      </x:c>
      <x:c r="F2" s="6" t="str">
        <x:v>Local thesis references and open technical references used for the workbook equations.</x:v>
      </x:c>
      <x:c r="G2" s="6" t="str">
        <x:v>Local thesis references and open technical references used for the workbook equations.</x:v>
      </x:c>
      <x:c r="H2" s="6" t="str">
        <x:v>Local thesis references and open technical references used for the workbook equations.</x:v>
      </x:c>
    </x:row>
    <x:row r="3">
      <x:c r="A3" s="9" t="str">
        <x:v>Reference / formula</x:v>
      </x:c>
      <x:c r="B3" s="9" t="str">
        <x:v>Basis used in workbook</x:v>
      </x:c>
      <x:c r="C3" s="9" t="str">
        <x:v>Location / URL</x:v>
      </x:c>
    </x:row>
    <x:row r="4">
      <x:c r="A4" s="39" t="str">
        <x:v>NPSHa definition</x:v>
      </x:c>
      <x:c r="B4" s="39" t="str">
        <x:v>Available suction head is total absolute suction head above vapor pressure head.</x:v>
      </x:c>
      <x:c r="C4" s="39" t="str">
        <x:v>Local: pdf_ref/ref4-standar_ANSI-9-6-2024_rotodynamic_pump_guidline_for_NPSH_margin-hydraulic-institute.pdf</x:v>
      </x:c>
    </x:row>
    <x:row r="5">
      <x:c r="A5" s="39" t="str">
        <x:v>Fluid mechanics</x:v>
      </x:c>
      <x:c r="B5" s="39" t="str">
        <x:v>Bernoulli energy balance, pressure head, elevation head, velocity head, and head loss.</x:v>
      </x:c>
      <x:c r="C5" s="39" t="str">
        <x:v>Local: pdf_ref/ref1-fluid-mechanics-fundaments-and-applications.pdf</x:v>
      </x:c>
    </x:row>
    <x:row r="6">
      <x:c r="A6" s="39" t="str">
        <x:v>Steady-flow energy equation</x:v>
      </x:c>
      <x:c r="B6" s="39" t="str">
        <x:v>Reservoir/source to pump suction energy accounting and pump/system head balance.</x:v>
      </x:c>
      <x:c r="C6" s="39" t="str">
        <x:v>Local: pdf_ref/ref2-introduction-fluid-mechanics.pdf</x:v>
      </x:c>
    </x:row>
    <x:row r="7">
      <x:c r="A7" s="39" t="str">
        <x:v>Cavitation context</x:v>
      </x:c>
      <x:c r="B7" s="39" t="str">
        <x:v>Centrifugal pump cavitation and NPSH interpretation.</x:v>
      </x:c>
      <x:c r="C7" s="39" t="str">
        <x:v>Local: pdf_ref/ref3-cavitations_and_centrifugal_pump_book_edward.pdf</x:v>
      </x:c>
    </x:row>
    <x:row r="8">
      <x:c r="A8" s="39" t="str">
        <x:v>NPSH open reference</x:v>
      </x:c>
      <x:c r="B8" s="39" t="str">
        <x:v>Low suction pressure near vapor pressure can cause cavitation; NPSHa includes pressure, elevation, loss, and vapor pressure terms.</x:v>
      </x:c>
      <x:c r="C8" s="39" t="str">
        <x:v>https://www.engineeringtoolbox.com/npsh-net-positive-suction-head-d_634.html</x:v>
      </x:c>
    </x:row>
    <x:row r="9">
      <x:c r="A9" s="39" t="str">
        <x:v>Bernoulli reference</x:v>
      </x:c>
      <x:c r="B9" s="39" t="str">
        <x:v>Static pressure, dynamic pressure, and total pressure/head interpretation.</x:v>
      </x:c>
      <x:c r="C9" s="39" t="str">
        <x:v>https://www1.grc.nasa.gov/beginners-guide-to-aeronautics/bernoullis-equation/</x:v>
      </x:c>
    </x:row>
    <x:row r="10">
      <x:c r="A10" s="39" t="str">
        <x:v>Standard atmosphere</x:v>
      </x:c>
      <x:c r="B10" s="39" t="str">
        <x:v>1 atmosphere = 101325 Pa, used as 1.01325 bar.</x:v>
      </x:c>
      <x:c r="C10" s="39" t="str">
        <x:v>https://www.nist.gov/pml/special-publication-811/nist-guide-si-appendix-b-conversion-factors</x:v>
      </x:c>
    </x:row>
    <x:row r="11">
      <x:c r="A11" s="39" t="str">
        <x:v>Water properties</x:v>
      </x:c>
      <x:c r="B11" s="39" t="str">
        <x:v>Fluid density and vapor pressure should be taken from validated fluid property data for final design.</x:v>
      </x:c>
      <x:c r="C11" s="39" t="str">
        <x:v>https://webbook.nist.gov/chemistry/fluid/</x:v>
      </x:c>
    </x:row>
    <x:row r="12">
      <x:c r="A12" s="39" t="str">
        <x:v>Darcy-Weisbach loss</x:v>
      </x:c>
      <x:c r="B12" s="39" t="str">
        <x:v>h_major = f(L/D)(V^2/2g).</x:v>
      </x:c>
      <x:c r="C12" s="39" t="str">
        <x:v>Formula implemented in Pipe_Suction and Pipe_Discharge.</x:v>
      </x:c>
    </x:row>
    <x:row r="13">
      <x:c r="A13" s="39" t="str">
        <x:v>Minor loss</x:v>
      </x:c>
      <x:c r="B13" s="39" t="str">
        <x:v>h_minor = K_total(V^2/2g).</x:v>
      </x:c>
      <x:c r="C13" s="39" t="str">
        <x:v>K_total uses Add_K when Add_K &gt; 0; otherwise K_each x Qty.</x:v>
      </x:c>
    </x:row>
    <x:row r="14">
      <x:c r="A14" s="39" t="str">
        <x:v>Swamee-Jain approximation</x:v>
      </x:c>
      <x:c r="B14" s="39" t="str">
        <x:v>For turbulent flow, f = 0.25/[log10(e/(3.7D)+5.74/Re^0.9)]^2.</x:v>
      </x:c>
      <x:c r="C14" s="39" t="str">
        <x:v>Screening approximation for Darcy friction factor.</x:v>
      </x:c>
    </x:row>
    <x:row r="15">
      <x:c r="A15" s="39" t="str">
        <x:v>NPSH status rule</x:v>
      </x:c>
      <x:c r="B15" s="39" t="str">
        <x:v>Risk if NPSHa &lt;= NPSHr; Warning if configured margin/ratio limits are not met.</x:v>
      </x:c>
      <x:c r="C15" s="39" t="str">
        <x:v>NPSH_Calc rows 12:16.</x:v>
      </x:c>
    </x:row>
    <x:row r="16">
      <x:c r="A16" s="39" t="str">
        <x:v>Boundary status rule</x:v>
      </x:c>
      <x:c r="B16" s="39" t="str">
        <x:v>Flow Demand Boundary reports required pressure; pressure boundary modes check residual tolerance.</x:v>
      </x:c>
      <x:c r="C16" s="39" t="str">
        <x:v>NPSH_Calc rows 26:29.</x:v>
      </x:c>
    </x:row>
  </x:sheetData>
  <x:mergeCells>
    <x:mergeCell ref="A1:H1"/>
    <x:mergeCell ref="A2:H2"/>
  </x:mergeCells>
  <x:pageMargins left="0.7" right="0.7" top="0.75" bottom="0.75" header="0.3" footer="0.3"/>
</x:worksheet>
</file>