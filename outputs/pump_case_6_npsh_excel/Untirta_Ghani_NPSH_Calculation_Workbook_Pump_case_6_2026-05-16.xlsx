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083fb57a1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cb16120c0fc4ed9"/>
    <x:sheet xmlns:r="http://schemas.openxmlformats.org/officeDocument/2006/relationships" name="Inputs" sheetId="2" r:id="R968fc67646b74071"/>
    <x:sheet xmlns:r="http://schemas.openxmlformats.org/officeDocument/2006/relationships" name="Pipe_Segments" sheetId="3" r:id="R58e99b25d8694838"/>
    <x:sheet xmlns:r="http://schemas.openxmlformats.org/officeDocument/2006/relationships" name="Route_NPSH" sheetId="4" r:id="R3fc7ac85b0cb40f2"/>
    <x:sheet xmlns:r="http://schemas.openxmlformats.org/officeDocument/2006/relationships" name="Pump_Curve" sheetId="5" r:id="R0d551acd89964f83"/>
    <x:sheet xmlns:r="http://schemas.openxmlformats.org/officeDocument/2006/relationships" name="Calc_Trace" sheetId="6" r:id="R7d48678bf77f49fb"/>
    <x:sheet xmlns:r="http://schemas.openxmlformats.org/officeDocument/2006/relationships" name="Formula_Dictionary" sheetId="7" r:id="Rfde6cfbc25e64282"/>
    <x:sheet xmlns:r="http://schemas.openxmlformats.org/officeDocument/2006/relationships" name="References" sheetId="8" r:id="R4b60d714da9a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0.0000"/>
  </x:numFmts>
  <x:fonts count="10">
    <x:font>
      <x:sz val="11"/>
      <x:name val="Carlito"/>
    </x:font>
    <x:font>
      <x:b/>
      <x:sz val="15"/>
      <x:color rgb="FFFFFF"/>
      <x:name val="Carlito"/>
    </x:font>
    <x:font>
      <x:i/>
      <x:sz val="10"/>
      <x:color rgb="0B2F4A"/>
      <x:name val="Carlito"/>
    </x:font>
    <x:font>
      <x:b/>
      <x:sz val="11"/>
      <x:color rgb="FFFFFF"/>
      <x:name val="Carlito"/>
    </x:font>
    <x:font>
      <x:sz val="10"/>
      <x:color rgb="0B2F4A"/>
      <x:name val="Carlito"/>
    </x:font>
    <x:font>
      <x:b/>
      <x:sz val="11"/>
      <x:color rgb="0B2F4A"/>
      <x:name val="Carlito"/>
    </x:font>
    <x:font>
      <x:b/>
      <x:sz val="10"/>
      <x:color rgb="0B2F4A"/>
      <x:name val="Aptos"/>
    </x:font>
    <x:font>
      <x:sz val="10"/>
      <x:color rgb="0B2F4A"/>
      <x:name val="Aptos"/>
    </x:font>
    <x:font>
      <x:b/>
      <x:sz val="15"/>
      <x:color rgb="FFFFFF"/>
      <x:name val="Aptos Display"/>
    </x:font>
    <x:font>
      <x:b/>
      <x:i/>
      <x:sz val="15"/>
      <x:color rgb="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0F3D5E"/>
      </x:patternFill>
    </x:fill>
    <x:fill>
      <x:patternFill patternType="solid">
        <x:fgColor rgb="DCEEFF"/>
      </x:patternFill>
    </x:fill>
    <x:fill>
      <x:patternFill patternType="solid">
        <x:fgColor rgb="F2F8FF"/>
      </x:patternFill>
    </x:fill>
    <x:fill>
      <x:patternFill patternType="solid">
        <x:fgColor rgb="FFF7C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3" borderId="0" xfId="0" applyNumberFormat="1" applyFont="1" applyFill="1" applyBorder="1"/>
    <x:xf numFmtId="200" fontId="4" fillId="5" borderId="0" xfId="0" applyNumberFormat="1" applyFont="1" applyFill="1" applyBorder="1"/>
    <x:xf numFmtId="200" fontId="4" fillId="3" borderId="0" xfId="0" applyNumberFormat="1" applyFont="1" applyFill="1" applyBorder="1"/>
    <x:xf numFmtId="201" fontId="4" fillId="5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5" fillId="3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3" borderId="0" xfId="0" applyNumberFormat="1" applyFont="1" applyFill="1" applyBorder="1"/>
  </x:cellXfs>
  <x:cellStyles count="1">
    <x:cellStyle name="Normal" xfId="0"/>
  </x:cellStyles>
  <x:dxfs count="6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C2410C"/>
      </x:font>
      <x:fill>
        <x:patternFill patternType="solid">
          <x:bgColor rgb="FFEDD5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C2410C"/>
      </x:font>
      <x:fill>
        <x:patternFill patternType="solid">
          <x:bgColor rgb="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b020815c743c4" /><Relationship Type="http://schemas.openxmlformats.org/officeDocument/2006/relationships/theme" Target="/xl/theme/theme1.xml" Id="R31188d1c01c8445c" /><Relationship Type="http://schemas.openxmlformats.org/officeDocument/2006/relationships/sharedStrings" Target="/xl/sharedStrings.xml" Id="Rcef53640254e41c4" /><Relationship Type="http://schemas.openxmlformats.org/officeDocument/2006/relationships/worksheet" Target="/xl/worksheets/sheet1.xml" Id="R8cb16120c0fc4ed9" /><Relationship Type="http://schemas.openxmlformats.org/officeDocument/2006/relationships/worksheet" Target="/xl/worksheets/sheet2.xml" Id="R968fc67646b74071" /><Relationship Type="http://schemas.openxmlformats.org/officeDocument/2006/relationships/worksheet" Target="/xl/worksheets/sheet3.xml" Id="R58e99b25d8694838" /><Relationship Type="http://schemas.openxmlformats.org/officeDocument/2006/relationships/worksheet" Target="/xl/worksheets/sheet4.xml" Id="R3fc7ac85b0cb40f2" /><Relationship Type="http://schemas.openxmlformats.org/officeDocument/2006/relationships/worksheet" Target="/xl/worksheets/sheet5.xml" Id="R0d551acd89964f83" /><Relationship Type="http://schemas.openxmlformats.org/officeDocument/2006/relationships/worksheet" Target="/xl/worksheets/sheet6.xml" Id="R7d48678bf77f49fb" /><Relationship Type="http://schemas.openxmlformats.org/officeDocument/2006/relationships/worksheet" Target="/xl/worksheets/sheet7.xml" Id="Rfde6cfbc25e64282" /><Relationship Type="http://schemas.openxmlformats.org/officeDocument/2006/relationships/worksheet" Target="/xl/worksheets/sheet8.xml" Id="R4b60d714da9a4e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b705e13e804c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Pump Head vs System Curve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Pump Head</c:v>
          </c:tx>
          <c:cat>
            <c:strRef>
              <c:f>'Pump_Curve'!$A$5:$A$13</c:f>
              <c:strCache>
                <c:ptCount val="0"/>
              </c:strCache>
            </c:strRef>
          </c:cat>
          <c:val>
            <c:numRef>
              <c:f>'Pump_Curve'!$B$5:$B$13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System Curve</c:v>
          </c:tx>
          <c:cat>
            <c:strRef>
              <c:f>'Pump_Curve'!$A$5:$A$13</c:f>
              <c:strCache>
                <c:ptCount val="0"/>
              </c:strCache>
            </c:strRef>
          </c:cat>
          <c:val>
            <c:numRef>
              <c:f>'Pump_Curve'!$C$5:$C$13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3</xdr:row>
      <xdr:rowOff>0</xdr:rowOff>
    </xdr:from>
    <xdr:ext cx="59055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b705e13e804c5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c42c4d485ba455f" /></Relationships>
</file>

<file path=xl/worksheets/sheet1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6.81999969482422" hidden="0" customWidth="1"/>
    <x:col min="3" max="3" width="11.4399995803833" hidden="0" customWidth="1"/>
    <x:col min="4" max="4" width="24.899999618530273" hidden="0" customWidth="1"/>
    <x:col min="5" max="5" width="16.81999969482422" hidden="0" customWidth="1"/>
    <x:col min="6" max="6" width="11.4399995803833" hidden="0" customWidth="1"/>
    <x:col min="7" max="7" width="27.59000015258789" hidden="0" customWidth="1"/>
    <x:col min="8" max="8" width="31.6299991607666" hidden="0" customWidth="1"/>
  </x:cols>
  <x:sheetData>
    <x:row r="1" ht="25.5" customHeight="1">
      <x:c r="A1" s="19" t="str">
        <x:v>Untirta GhaniSIM NPSH Calculation Workbook</x:v>
      </x:c>
      <x:c r="B1" s="19" t="str">
        <x:v>Untirta GhaniSIM NPSH Calculation Workbook</x:v>
      </x:c>
      <x:c r="C1" s="19" t="str">
        <x:v>Untirta GhaniSIM NPSH Calculation Workbook</x:v>
      </x:c>
      <x:c r="D1" s="19" t="str">
        <x:v>Untirta GhaniSIM NPSH Calculation Workbook</x:v>
      </x:c>
      <x:c r="E1" s="19" t="str">
        <x:v>Untirta GhaniSIM NPSH Calculation Workbook</x:v>
      </x:c>
      <x:c r="F1" s="19" t="str">
        <x:v>Untirta GhaniSIM NPSH Calculation Workbook</x:v>
      </x:c>
      <x:c r="G1" s="19" t="str">
        <x:v>Untirta GhaniSIM NPSH Calculation Workbook</x:v>
      </x:c>
      <x:c r="H1" s="19" t="str">
        <x:v>Untirta GhaniSIM NPSH Calculation Workbook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19.5" customHeight="1">
      <x:c r="A2" s="20" t="str">
        <x:v>Modeling &amp; Simulation of a Pumping System for Evaluating Cavitation Potential in Centrifugal Pumps Based on NPSH Analysis.</x:v>
      </x:c>
      <x:c r="B2" s="20" t="str">
        <x:v>Modeling &amp; Simulation of a Pumping System for Evaluating Cavitation Potential in Centrifugal Pumps Based on NPSH Analysis.</x:v>
      </x:c>
      <x:c r="C2" s="20" t="str">
        <x:v>Modeling &amp; Simulation of a Pumping System for Evaluating Cavitation Potential in Centrifugal Pumps Based on NPSH Analysis.</x:v>
      </x:c>
      <x:c r="D2" s="20" t="str">
        <x:v>Modeling &amp; Simulation of a Pumping System for Evaluating Cavitation Potential in Centrifugal Pumps Based on NPSH Analysis.</x:v>
      </x:c>
      <x:c r="E2" s="20" t="str">
        <x:v>Modeling &amp; Simulation of a Pumping System for Evaluating Cavitation Potential in Centrifugal Pumps Based on NPSH Analysis.</x:v>
      </x:c>
      <x:c r="F2" s="20" t="str">
        <x:v>Modeling &amp; Simulation of a Pumping System for Evaluating Cavitation Potential in Centrifugal Pumps Based on NPSH Analysis.</x:v>
      </x:c>
      <x:c r="G2" s="20" t="str">
        <x:v>Modeling &amp; Simulation of a Pumping System for Evaluating Cavitation Potential in Centrifugal Pumps Based on NPSH Analysis.</x:v>
      </x:c>
      <x:c r="H2" s="20" t="str">
        <x:v>Modeling &amp; Simulation of a Pumping System for Evaluating Cavitation Potential in Centrifugal Pumps Based on NPSH Analysis.</x:v>
      </x:c>
    </x:row>
    <x:row r="4">
      <x:c r="A4" s="5" t="str">
        <x:v>KPI</x:v>
      </x:c>
      <x:c r="B4" s="5" t="str">
        <x:v>Value</x:v>
      </x:c>
      <x:c r="C4" s="5" t="str">
        <x:v>Unit</x:v>
      </x:c>
      <x:c r="D4" s="5" t="str">
        <x:v>KPI</x:v>
      </x:c>
      <x:c r="E4" s="5" t="str">
        <x:v>Value</x:v>
      </x:c>
      <x:c r="F4" s="5" t="str">
        <x:v>Unit</x:v>
      </x:c>
      <x:c r="G4" s="5" t="str">
        <x:v>Status / Meaning</x:v>
      </x:c>
      <x:c r="H4" s="5" t="str">
        <x:v>Presenter note</x:v>
      </x:c>
    </x:row>
    <x:row r="5">
      <x:c r="A5" s="7" t="str">
        <x:v>Flow</x:v>
      </x:c>
      <x:c r="B5" s="10" t="n">
        <x:f>'Inputs'!$C$17</x:f>
        <x:v>50.033997</x:v>
      </x:c>
      <x:c r="C5" s="7" t="str">
        <x:v>m3/h</x:v>
      </x:c>
      <x:c r="D5" s="7" t="str">
        <x:v>Pump Head</x:v>
      </x:c>
      <x:c r="E5" s="10" t="n">
        <x:f>'Route_NPSH'!$B$18</x:f>
        <x:v>24.004629</x:v>
      </x:c>
      <x:c r="F5" s="7" t="str">
        <x:v>m</x:v>
      </x:c>
      <x:c r="G5" s="7" t="str">
        <x:f>IF('Route_NPSH'!$B$16="SAFE","Cavitation basis satisfied","Review pump warning")</x:f>
        <x:v>Cavitation basis satisfied</x:v>
      </x:c>
      <x:c r="H5" s="7" t="str">
        <x:v>Operating flow and pump head are formula-driven from input assumptions.</x:v>
      </x:c>
    </x:row>
    <x:row r="6">
      <x:c r="A6" s="7" t="str">
        <x:v>NPSHa</x:v>
      </x:c>
      <x:c r="B6" s="10" t="n">
        <x:f>'Route_NPSH'!$B$10</x:f>
        <x:v>3.4351774815653098</x:v>
      </x:c>
      <x:c r="C6" s="7" t="str">
        <x:v>m</x:v>
      </x:c>
      <x:c r="D6" s="7" t="str">
        <x:v>NPSHr</x:v>
      </x:c>
      <x:c r="E6" s="10" t="n">
        <x:f>'Route_NPSH'!$B$11</x:f>
        <x:v>2.4002</x:v>
      </x:c>
      <x:c r="F6" s="7" t="str">
        <x:v>m</x:v>
      </x:c>
      <x:c r="G6" s="7" t="str">
        <x:f>IF('Route_NPSH'!$B$10&gt;'Route_NPSH'!$B$11,"NPSHa exceeds NPSHr","NPSHa below/equal NPSHr")</x:f>
        <x:v>NPSHa exceeds NPSHr</x:v>
      </x:c>
      <x:c r="H6" s="7" t="str">
        <x:v>Primary cavitation comparison.</x:v>
      </x:c>
    </x:row>
    <x:row r="7">
      <x:c r="A7" s="7" t="str">
        <x:v>NPSH Margin</x:v>
      </x:c>
      <x:c r="B7" s="10" t="n">
        <x:f>'Route_NPSH'!$B$12</x:f>
        <x:v>1.0349774815653099</x:v>
      </x:c>
      <x:c r="C7" s="7" t="str">
        <x:v>m</x:v>
      </x:c>
      <x:c r="D7" s="7" t="str">
        <x:v>NPSH Ratio</x:v>
      </x:c>
      <x:c r="E7" s="10" t="n">
        <x:f>'Route_NPSH'!$B$13</x:f>
        <x:v>1.431204683595246</x:v>
      </x:c>
      <x:c r="F7" s="7" t="str">
        <x:v>-</x:v>
      </x:c>
      <x:c r="G7" s="7" t="str">
        <x:f>IF('Route_NPSH'!$B$15&gt;=0,"Configured margin satisfied","Configured margin not satisfied")</x:f>
        <x:v>Configured margin satisfied</x:v>
      </x:c>
      <x:c r="H7" s="7" t="str">
        <x:v>Margin and ratio should exceed the selected basis.</x:v>
      </x:c>
    </x:row>
    <x:row r="8">
      <x:c r="A8" s="7" t="str">
        <x:v>Suction Loss</x:v>
      </x:c>
      <x:c r="B8" s="10" t="n">
        <x:f>'Route_NPSH'!$B$8</x:f>
        <x:v>2.234117965790587</x:v>
      </x:c>
      <x:c r="C8" s="7" t="str">
        <x:v>m</x:v>
      </x:c>
      <x:c r="D8" s="7" t="str">
        <x:v>Discharge Loss</x:v>
      </x:c>
      <x:c r="E8" s="10" t="n">
        <x:f>'Route_NPSH'!$B$19</x:f>
        <x:v>7.502905363567823</x:v>
      </x:c>
      <x:c r="F8" s="7" t="str">
        <x:v>m</x:v>
      </x:c>
      <x:c r="G8" s="7" t="str">
        <x:v>Detailed in Pipe_Segments</x:v>
      </x:c>
      <x:c r="H8" s="7" t="str">
        <x:v>Pipe/fitting losses are traceable segment-by-segment.</x:v>
      </x:c>
    </x:row>
    <x:row r="9">
      <x:c r="A9" s="7" t="str">
        <x:v>Suction Pressure</x:v>
      </x:c>
      <x:c r="B9" s="10" t="n">
        <x:f>'Route_NPSH'!$B$17</x:f>
        <x:v>1.3370243477231059</x:v>
      </x:c>
      <x:c r="C9" s="7" t="str">
        <x:v>bar a</x:v>
      </x:c>
      <x:c r="D9" s="7" t="str">
        <x:v>SNK Required Pressure</x:v>
      </x:c>
      <x:c r="E9" s="10" t="n">
        <x:f>'Route_NPSH'!$B$23</x:f>
        <x:v>1.901077568858644</x:v>
      </x:c>
      <x:c r="F9" s="7" t="str">
        <x:v>bar a</x:v>
      </x:c>
      <x:c r="G9" s="7" t="str">
        <x:v>SNK pressure is calculated at demand flow</x:v>
      </x:c>
      <x:c r="H9" s="7" t="str">
        <x:v>Flow Demand Boundary makes outlet pressure a readout.</x:v>
      </x:c>
    </x:row>
    <x:row r="10">
      <x:c r="A10" s="7" t="str">
        <x:v>Fluid Temperature</x:v>
      </x:c>
      <x:c r="B10" s="10" t="n">
        <x:f>'Inputs'!$C$8</x:f>
        <x:v>100</x:v>
      </x:c>
      <x:c r="C10" s="7" t="str">
        <x:v>deg C</x:v>
      </x:c>
      <x:c r="D10" s="7" t="str">
        <x:v>Vapor Pressure</x:v>
      </x:c>
      <x:c r="E10" s="10" t="n">
        <x:f>'Inputs'!$C$12</x:f>
        <x:v>1.0141799381792784</x:v>
      </x:c>
      <x:c r="F10" s="7" t="str">
        <x:v>bar a</x:v>
      </x:c>
      <x:c r="G10" s="7" t="str">
        <x:v>Hot water requires careful vapor pressure review</x:v>
      </x:c>
      <x:c r="H10" s="7" t="str">
        <x:v>Vapor pressure is critical for hot-water NPSH.</x:v>
      </x:c>
    </x:row>
    <x:row r="11">
      <x:c r="A11" s="7" t="str">
        <x:v>SRC Pressure</x:v>
      </x:c>
      <x:c r="B11" s="10" t="n">
        <x:f>'Inputs'!$C$15</x:f>
        <x:v>1.5</x:v>
      </x:c>
      <x:c r="C11" s="7" t="str">
        <x:v>bar a</x:v>
      </x:c>
      <x:c r="D11" s="7" t="str">
        <x:v>SNK Mode</x:v>
      </x:c>
      <x:c r="E11" s="10" t="str">
        <x:f>'Inputs'!$C$28</x:f>
        <x:v>Flow Demand Boundary</x:v>
      </x:c>
      <x:c r="F11" s="7" t="str">
        <x:v>-</x:v>
      </x:c>
      <x:c r="G11" s="7" t="str">
        <x:v>Absolute pressure basis</x:v>
      </x:c>
      <x:c r="H11" s="7" t="str">
        <x:v>Boundary choices change the system equation.</x:v>
      </x:c>
    </x:row>
    <x:row r="12">
      <x:c r="A12" s="7" t="str">
        <x:v>Pump Status</x:v>
      </x:c>
      <x:c r="B12" s="10" t="str">
        <x:f>'Route_NPSH'!$B$16</x:f>
        <x:v>SAFE</x:v>
      </x:c>
      <x:c r="C12" s="7" t="str">
        <x:v>-</x:v>
      </x:c>
      <x:c r="D12" s="7" t="str">
        <x:v>SNK Status</x:v>
      </x:c>
      <x:c r="E12" s="10" t="str">
        <x:f>'Route_NPSH'!$B$24</x:f>
        <x:v>SAFE - required pressure is a readout</x:v>
      </x:c>
      <x:c r="F12" s="7" t="str">
        <x:v>-</x:v>
      </x:c>
      <x:c r="G12" s="7" t="str">
        <x:f>'Route_NPSH'!$B$24</x:f>
        <x:v>SAFE - required pressure is a readout</x:v>
      </x:c>
      <x:c r="H12" s="7" t="str">
        <x:v>Warnings should be interpreted through the trace sheets.</x:v>
      </x:c>
    </x:row>
    <x:row r="13">
      <x:c r="A13" s="7" t="str">
        <x:v>Workbook source</x:v>
      </x:c>
      <x:c r="B13" s="7" t="str">
        <x:v>Pump case 6 XML</x:v>
      </x:c>
      <x:c r="C13" s="7" t="str">
        <x:v>-</x:v>
      </x:c>
      <x:c r="D13" s="7" t="str">
        <x:v>Prepared for</x:v>
      </x:c>
      <x:c r="E13" s="7" t="str">
        <x:v>Bachelor Thesis</x:v>
      </x:c>
      <x:c r="F13" s="7" t="str">
        <x:v>-</x:v>
      </x:c>
      <x:c r="G13" s="7" t="str">
        <x:v>Mechanical Engineering</x:v>
      </x:c>
      <x:c r="H13" s="7" t="str">
        <x:v>Sultan Ageng Tirtayasa University</x:v>
      </x:c>
    </x:row>
    <x:row r="16">
      <x:c r="A16" s="5" t="str">
        <x:v>Presentation Flow</x:v>
      </x:c>
      <x:c r="B16" s="5" t="str">
        <x:v>Step 1</x:v>
      </x:c>
      <x:c r="C16" s="5" t="str">
        <x:v>Step 2</x:v>
      </x:c>
      <x:c r="D16" s="5" t="str">
        <x:v>Step 3</x:v>
      </x:c>
      <x:c r="E16" s="5" t="str">
        <x:v>Step 4</x:v>
      </x:c>
      <x:c r="F16" s="5" t="str">
        <x:v>Step 5</x:v>
      </x:c>
      <x:c r="G16" s="5" t="str">
        <x:v>Step 6</x:v>
      </x:c>
      <x:c r="H16" s="5" t="str">
        <x:v>Result</x:v>
      </x:c>
    </x:row>
    <x:row r="17">
      <x:c r="A17" s="7" t="str">
        <x:v>How to explain</x:v>
      </x:c>
      <x:c r="B17" s="7" t="str">
        <x:v>Start from Fluid Basis.</x:v>
      </x:c>
      <x:c r="C17" s="7" t="str">
        <x:v>Read SRC pressure/elevation/flow.</x:v>
      </x:c>
      <x:c r="D17" s="7" t="str">
        <x:v>Trace suction pipe losses.</x:v>
      </x:c>
      <x:c r="E17" s="7" t="str">
        <x:v>Compute NPSHa.</x:v>
      </x:c>
      <x:c r="F17" s="7" t="str">
        <x:v>Compare against NPSHr.</x:v>
      </x:c>
      <x:c r="G17" s="7" t="str">
        <x:v>Check SNK boundary mode.</x:v>
      </x:c>
      <x:c r="H17" s="7" t="str">
        <x:v>Conclude safe/warning/risk.</x:v>
      </x:c>
    </x:row>
  </x:sheetData>
  <x:mergeCells>
    <x:mergeCell ref="A1:H1"/>
    <x:mergeCell ref="A2:H2"/>
  </x:mergeCells>
  <x:conditionalFormatting sqref="G5:G12">
    <x:cfRule type="containsText" dxfId="4" priority="1" operator="containsText" text="SAFE"/>
    <x:cfRule type="containsText" dxfId="5" priority="2" operator="containsText" text="warn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18.170000076293945" hidden="0" customWidth="1"/>
    <x:col min="3" max="3" width="11.4399995803833" hidden="0" customWidth="1"/>
    <x:col min="4" max="4" width="35.66999816894531" hidden="0" customWidth="1"/>
    <x:col min="5" max="5" width="22.209999084472656" hidden="0" customWidth="1"/>
    <x:col min="6" max="6" width="22.209999084472656" hidden="0" customWidth="1"/>
  </x:cols>
  <x:sheetData>
    <x:row r="1" ht="25.5" customHeight="1">
      <x:c r="A1" s="17" t="str">
        <x:v>Scenario Inputs - HYSYS XML Converted to GhaniSIM</x:v>
      </x:c>
      <x:c r="B1" s="17" t="str">
        <x:v>Scenario Inputs - HYSYS XML Converted to GhaniSIM</x:v>
      </x:c>
      <x:c r="C1" s="17" t="str">
        <x:v>Scenario Inputs - HYSYS XML Converted to GhaniSIM</x:v>
      </x:c>
      <x:c r="D1" s="17" t="str">
        <x:v>Scenario Inputs - HYSYS XML Converted to GhaniSIM</x:v>
      </x:c>
      <x:c r="E1" s="17" t="str">
        <x:v>Scenario Inputs - HYSYS XML Converted to GhaniSIM</x:v>
      </x:c>
      <x:c r="F1" s="17" t="str">
        <x:v>Scenario Inputs - HYSYS XML Converted to GhaniSIM</x:v>
      </x:c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19.5" customHeight="1">
      <x:c r="A2" s="4" t="str">
        <x:v>Yellow cells are editable assumptions; blue cells are derived or descriptive.</x:v>
      </x:c>
      <x:c r="B2" s="4" t="str">
        <x:v>Yellow cells are editable assumptions; blue cells are derived or descriptive.</x:v>
      </x:c>
      <x:c r="C2" s="4" t="str">
        <x:v>Yellow cells are editable assumptions; blue cells are derived or descriptive.</x:v>
      </x:c>
      <x:c r="D2" s="4" t="str">
        <x:v>Yellow cells are editable assumptions; blue cells are derived or descriptive.</x:v>
      </x:c>
      <x:c r="E2" s="4" t="str">
        <x:v>Yellow cells are editable assumptions; blue cells are derived or descriptive.</x:v>
      </x:c>
      <x:c r="F2" s="4" t="str">
        <x:v>Yellow cells are editable assumptions; blue cells are derived or descriptive.</x:v>
      </x:c>
    </x:row>
    <x:row r="4">
      <x:c r="A4" s="5" t="str">
        <x:v>Category</x:v>
      </x:c>
      <x:c r="B4" s="5" t="str">
        <x:v>Parameter</x:v>
      </x:c>
      <x:c r="C4" s="5" t="str">
        <x:v>Value</x:v>
      </x:c>
      <x:c r="D4" s="5" t="str">
        <x:v>Unit</x:v>
      </x:c>
      <x:c r="E4" s="5" t="str">
        <x:v>Source</x:v>
      </x:c>
      <x:c r="F4" s="5" t="str">
        <x:v>Notes</x:v>
      </x:c>
    </x:row>
    <x:row r="5">
      <x:c r="A5" s="7" t="str">
        <x:v>Constants</x:v>
      </x:c>
      <x:c r="B5" s="7" t="str">
        <x:v>g</x:v>
      </x:c>
      <x:c r="C5" s="10" t="n">
        <x:v>9.80665</x:v>
      </x:c>
      <x:c r="D5" s="7" t="str">
        <x:v>m/s2</x:v>
      </x:c>
      <x:c r="E5" s="7" t="str">
        <x:v>Engineering constant</x:v>
      </x:c>
      <x:c r="F5" s="7" t="str">
        <x:v>Gravity used by application formulas.</x:v>
      </x:c>
    </x:row>
    <x:row r="6">
      <x:c r="A6" s="7" t="str">
        <x:v>Constants</x:v>
      </x:c>
      <x:c r="B6" s="7" t="str">
        <x:v>Patm</x:v>
      </x:c>
      <x:c r="C6" s="10" t="n">
        <x:v>1.01325</x:v>
      </x:c>
      <x:c r="D6" s="7" t="str">
        <x:v>bar a</x:v>
      </x:c>
      <x:c r="E6" s="7" t="str">
        <x:v>NIST SI conversion</x:v>
      </x:c>
      <x:c r="F6" s="7" t="str">
        <x:v>Standard atmosphere.</x:v>
      </x:c>
    </x:row>
    <x:row r="7">
      <x:c r="A7" s="7" t="str">
        <x:v>Fluid</x:v>
      </x:c>
      <x:c r="B7" s="7" t="str">
        <x:v>Fluid name</x:v>
      </x:c>
      <x:c r="C7" s="12" t="str">
        <x:v>Water</x:v>
      </x:c>
      <x:c r="D7" s="7" t="str">
        <x:v>-</x:v>
      </x:c>
      <x:c r="E7" s="7" t="str">
        <x:v>HYSYS XML / GhaniSIM fluid basis</x:v>
      </x:c>
      <x:c r="F7" s="7" t="str"/>
    </x:row>
    <x:row r="8">
      <x:c r="A8" s="7" t="str">
        <x:v>Fluid</x:v>
      </x:c>
      <x:c r="B8" s="7" t="str">
        <x:v>Temperature</x:v>
      </x:c>
      <x:c r="C8" s="12" t="n">
        <x:v>100</x:v>
      </x:c>
      <x:c r="D8" s="7" t="str">
        <x:v>deg C</x:v>
      </x:c>
      <x:c r="E8" s="7" t="str">
        <x:v>HYSYS XML TANKIN</x:v>
      </x:c>
      <x:c r="F8" s="7" t="str"/>
    </x:row>
    <x:row r="9">
      <x:c r="A9" s="7" t="str">
        <x:v>Fluid</x:v>
      </x:c>
      <x:c r="B9" s="7" t="str">
        <x:v>Density</x:v>
      </x:c>
      <x:c r="C9" s="10" t="n">
        <x:v>958.3483835924421</x:v>
      </x:c>
      <x:c r="D9" s="7" t="str">
        <x:v>kg/m3</x:v>
      </x:c>
      <x:c r="E9" s="7" t="str">
        <x:v>IAPWS-based water property correlation (IAPWS SR6-08, 2011)</x:v>
      </x:c>
      <x:c r="F9" s="7" t="str"/>
    </x:row>
    <x:row r="10">
      <x:c r="A10" s="7" t="str">
        <x:v>Fluid</x:v>
      </x:c>
      <x:c r="B10" s="7" t="str">
        <x:v>Kinematic viscosity</x:v>
      </x:c>
      <x:c r="C10" s="10" t="n">
        <x:v>0.2938191036713227</x:v>
      </x:c>
      <x:c r="D10" s="7" t="str">
        <x:v>cSt</x:v>
      </x:c>
      <x:c r="E10" s="7" t="str">
        <x:v>IAPWS-based water property correlation (IAPWS SR6-08, 2011)</x:v>
      </x:c>
      <x:c r="F10" s="7" t="str">
        <x:v>Used as nu x 1E-6 in Reynolds number.</x:v>
      </x:c>
    </x:row>
    <x:row r="11">
      <x:c r="A11" s="7" t="str">
        <x:v>Fluid</x:v>
      </x:c>
      <x:c r="B11" s="7" t="str">
        <x:v>Dynamic viscosity</x:v>
      </x:c>
      <x:c r="C11" s="10" t="n">
        <x:v>0.28158106307199227</x:v>
      </x:c>
      <x:c r="D11" s="7" t="str">
        <x:v>mPa.s</x:v>
      </x:c>
      <x:c r="E11" s="7" t="str">
        <x:v>IAPWS-based water property correlation (IAPWS SR6-08, 2011)</x:v>
      </x:c>
      <x:c r="F11" s="7" t="str">
        <x:v>Reported for reference.</x:v>
      </x:c>
    </x:row>
    <x:row r="12">
      <x:c r="A12" s="7" t="str">
        <x:v>Fluid</x:v>
      </x:c>
      <x:c r="B12" s="7" t="str">
        <x:v>Vapor pressure</x:v>
      </x:c>
      <x:c r="C12" s="10" t="n">
        <x:v>1.0141799381792784</x:v>
      </x:c>
      <x:c r="D12" s="7" t="str">
        <x:v>bar a</x:v>
      </x:c>
      <x:c r="E12" s="7" t="str">
        <x:v>IAPWS-based water property correlation (IAPWS SR6-08, 2011)</x:v>
      </x:c>
      <x:c r="F12" s="7" t="str"/>
    </x:row>
    <x:row r="13">
      <x:c r="A13" s="7" t="str">
        <x:v>Fluid</x:v>
      </x:c>
      <x:c r="B13" s="7" t="str">
        <x:v>Vapor pressure head</x:v>
      </x:c>
      <x:c r="C13" s="11" t="n">
        <x:f>C12*100000/(C9*C5)</x:f>
        <x:v>10.791229406175617</x:v>
      </x:c>
      <x:c r="D13" s="7" t="str">
        <x:v>m</x:v>
      </x:c>
      <x:c r="E13" s="7" t="str">
        <x:v>Formula</x:v>
      </x:c>
      <x:c r="F13" s="7" t="str">
        <x:v>Pv head = Pv x 100000 / (rho x g).</x:v>
      </x:c>
    </x:row>
    <x:row r="14">
      <x:c r="A14" s="7" t="str">
        <x:v>SRC-100</x:v>
      </x:c>
      <x:c r="B14" s="7" t="str">
        <x:v>Source type</x:v>
      </x:c>
      <x:c r="C14" s="10" t="str">
        <x:v>Fixed Flow Source</x:v>
      </x:c>
      <x:c r="D14" s="7" t="str">
        <x:v>-</x:v>
      </x:c>
      <x:c r="E14" s="7" t="str">
        <x:v>Converted from HYSYS TANK/TANKIN</x:v>
      </x:c>
      <x:c r="F14" s="7" t="str"/>
    </x:row>
    <x:row r="15">
      <x:c r="A15" s="7" t="str">
        <x:v>SRC-100</x:v>
      </x:c>
      <x:c r="B15" s="7" t="str">
        <x:v>Source pressure</x:v>
      </x:c>
      <x:c r="C15" s="10" t="n">
        <x:v>1.5</x:v>
      </x:c>
      <x:c r="D15" s="7" t="str">
        <x:v>bar a</x:v>
      </x:c>
      <x:c r="E15" s="7" t="str">
        <x:v>HYSYS XML TANKIN pressure</x:v>
      </x:c>
      <x:c r="F15" s="7" t="str">
        <x:v>Absolute pressure basis.</x:v>
      </x:c>
    </x:row>
    <x:row r="16">
      <x:c r="A16" s="7" t="str">
        <x:v>SRC-100</x:v>
      </x:c>
      <x:c r="B16" s="7" t="str">
        <x:v>Source elevation</x:v>
      </x:c>
      <x:c r="C16" s="10" t="n">
        <x:v>0</x:v>
      </x:c>
      <x:c r="D16" s="7" t="str">
        <x:v>m</x:v>
      </x:c>
      <x:c r="E16" s="7" t="str">
        <x:v>GhaniSIM import assumption</x:v>
      </x:c>
      <x:c r="F16" s="7" t="str"/>
    </x:row>
    <x:row r="17">
      <x:c r="A17" s="7" t="str">
        <x:v>SRC-100</x:v>
      </x:c>
      <x:c r="B17" s="7" t="str">
        <x:v>Source flow</x:v>
      </x:c>
      <x:c r="C17" s="10" t="n">
        <x:v>50.033997</x:v>
      </x:c>
      <x:c r="D17" s="7" t="str">
        <x:v>m3/h</x:v>
      </x:c>
      <x:c r="E17" s="7" t="str">
        <x:v>Mass flow converted with fluid density</x:v>
      </x:c>
      <x:c r="F17" s="7" t="str"/>
    </x:row>
    <x:row r="18">
      <x:c r="A18" s="7" t="str">
        <x:v>SRC-100</x:v>
      </x:c>
      <x:c r="B18" s="7" t="str">
        <x:v>Source mass flow</x:v>
      </x:c>
      <x:c r="C18" s="12" t="n">
        <x:v>47949.99984</x:v>
      </x:c>
      <x:c r="D18" s="7" t="str">
        <x:v>kg/h</x:v>
      </x:c>
      <x:c r="E18" s="7" t="str">
        <x:v>HYSYS XML TANKIN mass flow</x:v>
      </x:c>
      <x:c r="F18" s="7" t="str"/>
    </x:row>
    <x:row r="19">
      <x:c r="A19" s="7" t="str">
        <x:v>P-100</x:v>
      </x:c>
      <x:c r="B19" s="7" t="str">
        <x:v>Pump input mode</x:v>
      </x:c>
      <x:c r="C19" s="10" t="str">
        <x:v>Basic</x:v>
      </x:c>
      <x:c r="D19" s="7" t="str">
        <x:v>-</x:v>
      </x:c>
      <x:c r="E19" s="7" t="str">
        <x:v>GhaniSIM pump model</x:v>
      </x:c>
      <x:c r="F19" s="7" t="str"/>
    </x:row>
    <x:row r="20">
      <x:c r="A20" s="7" t="str">
        <x:v>P-100</x:v>
      </x:c>
      <x:c r="B20" s="7" t="str">
        <x:v>Design flow / BEP flow</x:v>
      </x:c>
      <x:c r="C20" s="10" t="n">
        <x:v>50.033997</x:v>
      </x:c>
      <x:c r="D20" s="7" t="str">
        <x:v>m3/h</x:v>
      </x:c>
      <x:c r="E20" s="7" t="str">
        <x:v>Converted operating flow</x:v>
      </x:c>
      <x:c r="F20" s="7" t="str"/>
    </x:row>
    <x:row r="21">
      <x:c r="A21" s="7" t="str">
        <x:v>P-100</x:v>
      </x:c>
      <x:c r="B21" s="7" t="str">
        <x:v>Design head</x:v>
      </x:c>
      <x:c r="C21" s="10" t="n">
        <x:v>24.004629</x:v>
      </x:c>
      <x:c r="D21" s="7" t="str">
        <x:v>m</x:v>
      </x:c>
      <x:c r="E21" s="7" t="str">
        <x:v>HYSYS XML DeltaP converted to head</x:v>
      </x:c>
      <x:c r="F21" s="7" t="str">
        <x:v>H = DeltaP / (rho x g).</x:v>
      </x:c>
    </x:row>
    <x:row r="22">
      <x:c r="A22" s="7" t="str">
        <x:v>P-100</x:v>
      </x:c>
      <x:c r="B22" s="7" t="str">
        <x:v>Design efficiency</x:v>
      </x:c>
      <x:c r="C22" s="10" t="n">
        <x:v>62</x:v>
      </x:c>
      <x:c r="D22" s="7" t="str">
        <x:v>%</x:v>
      </x:c>
      <x:c r="E22" s="7" t="str">
        <x:v>HYSYS XML pump efficiency</x:v>
      </x:c>
      <x:c r="F22" s="7" t="str"/>
    </x:row>
    <x:row r="23">
      <x:c r="A23" s="7" t="str">
        <x:v>P-100</x:v>
      </x:c>
      <x:c r="B23" s="7" t="str">
        <x:v>Manual NPSHr</x:v>
      </x:c>
      <x:c r="C23" s="10" t="n">
        <x:v>2.4002</x:v>
      </x:c>
      <x:c r="D23" s="7" t="str">
        <x:v>m</x:v>
      </x:c>
      <x:c r="E23" s="7" t="str">
        <x:v>HYSYS XML NPSHRequired</x:v>
      </x:c>
      <x:c r="F23" s="7" t="str"/>
    </x:row>
    <x:row r="24">
      <x:c r="A24" s="7" t="str">
        <x:v>P-100</x:v>
      </x:c>
      <x:c r="B24" s="7" t="str">
        <x:v>Pump suction elevation</x:v>
      </x:c>
      <x:c r="C24" s="10" t="n">
        <x:v>-0.5</x:v>
      </x:c>
      <x:c r="D24" s="7" t="str">
        <x:v>m</x:v>
      </x:c>
      <x:c r="E24" s="7" t="str">
        <x:v>PIPE-1 end elevation</x:v>
      </x:c>
      <x:c r="F24" s="7" t="str"/>
    </x:row>
    <x:row r="25">
      <x:c r="A25" s="7" t="str">
        <x:v>P-100</x:v>
      </x:c>
      <x:c r="B25" s="7" t="str">
        <x:v>Pump discharge elevation</x:v>
      </x:c>
      <x:c r="C25" s="10" t="n">
        <x:v>0</x:v>
      </x:c>
      <x:c r="D25" s="7" t="str">
        <x:v>m</x:v>
      </x:c>
      <x:c r="E25" s="7" t="str">
        <x:v>Import assumption</x:v>
      </x:c>
      <x:c r="F25" s="7" t="str"/>
    </x:row>
    <x:row r="26">
      <x:c r="A26" s="7" t="str">
        <x:v>P-100</x:v>
      </x:c>
      <x:c r="B26" s="7" t="str">
        <x:v>Minimum NPSH ratio</x:v>
      </x:c>
      <x:c r="C26" s="10" t="n">
        <x:v>1.1</x:v>
      </x:c>
      <x:c r="D26" s="7" t="str">
        <x:v>-</x:v>
      </x:c>
      <x:c r="E26" s="7" t="str">
        <x:v>ANSI/HI guided setting</x:v>
      </x:c>
      <x:c r="F26" s="7" t="str"/>
    </x:row>
    <x:row r="27">
      <x:c r="A27" s="7" t="str">
        <x:v>P-100</x:v>
      </x:c>
      <x:c r="B27" s="7" t="str">
        <x:v>Minimum NPSH margin</x:v>
      </x:c>
      <x:c r="C27" s="10" t="n">
        <x:v>0.6</x:v>
      </x:c>
      <x:c r="D27" s="7" t="str">
        <x:v>m</x:v>
      </x:c>
      <x:c r="E27" s="7" t="str">
        <x:v>ANSI/HI guided setting</x:v>
      </x:c>
      <x:c r="F27" s="7" t="str"/>
    </x:row>
    <x:row r="28">
      <x:c r="A28" s="7" t="str">
        <x:v>SNK-100</x:v>
      </x:c>
      <x:c r="B28" s="7" t="str">
        <x:v>Boundary mode</x:v>
      </x:c>
      <x:c r="C28" s="10" t="str">
        <x:v>Flow Demand Boundary</x:v>
      </x:c>
      <x:c r="D28" s="7" t="str">
        <x:v>-</x:v>
      </x:c>
      <x:c r="E28" s="7" t="str">
        <x:v>Recommended for imposed flow demonstration</x:v>
      </x:c>
      <x:c r="F28" s="7" t="str"/>
    </x:row>
    <x:row r="29">
      <x:c r="A29" s="7" t="str">
        <x:v>SNK-100</x:v>
      </x:c>
      <x:c r="B29" s="7" t="str">
        <x:v>Outlet/reference pressure</x:v>
      </x:c>
      <x:c r="C29" s="10" t="n">
        <x:v>1.01325</x:v>
      </x:c>
      <x:c r="D29" s="7" t="str">
        <x:v>bar a</x:v>
      </x:c>
      <x:c r="E29" s="7" t="str">
        <x:v>Atmospheric reference</x:v>
      </x:c>
      <x:c r="F29" s="7" t="str"/>
    </x:row>
    <x:row r="30">
      <x:c r="A30" s="7" t="str">
        <x:v>SNK-100</x:v>
      </x:c>
      <x:c r="B30" s="7" t="str">
        <x:v>Sink elevation</x:v>
      </x:c>
      <x:c r="C30" s="10" t="n">
        <x:v>10</x:v>
      </x:c>
      <x:c r="D30" s="7" t="str">
        <x:v>m</x:v>
      </x:c>
      <x:c r="E30" s="7" t="str">
        <x:v>PIPE-2 end elevation</x:v>
      </x:c>
      <x:c r="F30" s="7" t="str"/>
    </x:row>
    <x:row r="31">
      <x:c r="A31" s="7" t="str">
        <x:v>SNK-100</x:v>
      </x:c>
      <x:c r="B31" s="7" t="str">
        <x:v>Demand flow</x:v>
      </x:c>
      <x:c r="C31" s="10" t="n">
        <x:v>50.033997</x:v>
      </x:c>
      <x:c r="D31" s="7" t="str">
        <x:v>m3/h</x:v>
      </x:c>
      <x:c r="E31" s="7" t="str">
        <x:v>Source flow copied to sink demand</x:v>
      </x:c>
      <x:c r="F31" s="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14.800000190734863" hidden="0" customWidth="1"/>
    <x:col min="3" max="3" width="11.4399995803833" hidden="0" customWidth="1"/>
    <x:col min="4" max="4" width="43.7400016784668" hidden="0" customWidth="1"/>
    <x:col min="5" max="5" width="11.4399995803833" hidden="0" customWidth="1"/>
    <x:col min="6" max="6" width="11.4399995803833" hidden="0" customWidth="1"/>
    <x:col min="7" max="7" width="11.4399995803833" hidden="0" customWidth="1"/>
    <x:col min="8" max="8" width="12.109999656677246" hidden="0" customWidth="1"/>
    <x:col min="9" max="9" width="8.75" hidden="0" customWidth="1"/>
    <x:col min="10" max="10" width="10.09000015258789" hidden="0" customWidth="1"/>
    <x:col min="11" max="11" width="10.09000015258789" hidden="0" customWidth="1"/>
    <x:col min="12" max="12" width="10.09000015258789" hidden="0" customWidth="1"/>
    <x:col min="13" max="13" width="12.789999961853027" hidden="0" customWidth="1"/>
    <x:col min="14" max="14" width="12.109999656677246" hidden="0" customWidth="1"/>
    <x:col min="15" max="15" width="13.460000038146973" hidden="0" customWidth="1"/>
    <x:col min="16" max="16" width="12.109999656677246" hidden="0" customWidth="1"/>
    <x:col min="17" max="17" width="11.4399995803833" hidden="0" customWidth="1"/>
    <x:col min="18" max="18" width="12.109999656677246" hidden="0" customWidth="1"/>
    <x:col min="19" max="19" width="12.109999656677246" hidden="0" customWidth="1"/>
    <x:col min="20" max="20" width="10.770000457763672" hidden="0" customWidth="1"/>
    <x:col min="21" max="21" width="12.109999656677246" hidden="0" customWidth="1"/>
  </x:cols>
  <x:sheetData>
    <x:row r="1" ht="25.5" customHeight="1">
      <x:c r="A1" s="17" t="str">
        <x:v>Pipe Segment Calculation - Darcy-Weisbach and K Losses</x:v>
      </x:c>
      <x:c r="B1" s="17" t="str">
        <x:v>Pipe Segment Calculation - Darcy-Weisbach and K Losses</x:v>
      </x:c>
      <x:c r="C1" s="17" t="str">
        <x:v>Pipe Segment Calculation - Darcy-Weisbach and K Losses</x:v>
      </x:c>
      <x:c r="D1" s="17" t="str">
        <x:v>Pipe Segment Calculation - Darcy-Weisbach and K Losses</x:v>
      </x:c>
      <x:c r="E1" s="17" t="str">
        <x:v>Pipe Segment Calculation - Darcy-Weisbach and K Losses</x:v>
      </x:c>
      <x:c r="F1" s="17" t="str">
        <x:v>Pipe Segment Calculation - Darcy-Weisbach and K Losses</x:v>
      </x:c>
      <x:c r="G1" s="17" t="str">
        <x:v>Pipe Segment Calculation - Darcy-Weisbach and K Losses</x:v>
      </x:c>
      <x:c r="H1" s="17" t="str">
        <x:v>Pipe Segment Calculation - Darcy-Weisbach and K Losses</x:v>
      </x:c>
      <x:c r="I1" s="17" t="str">
        <x:v>Pipe Segment Calculation - Darcy-Weisbach and K Losses</x:v>
      </x:c>
      <x:c r="J1" s="17" t="str">
        <x:v>Pipe Segment Calculation - Darcy-Weisbach and K Losses</x:v>
      </x:c>
      <x:c r="K1" s="17" t="str">
        <x:v>Pipe Segment Calculation - Darcy-Weisbach and K Losses</x:v>
      </x:c>
      <x:c r="L1" s="17" t="str">
        <x:v>Pipe Segment Calculation - Darcy-Weisbach and K Losses</x:v>
      </x:c>
      <x:c r="M1" s="17" t="str">
        <x:v>Pipe Segment Calculation - Darcy-Weisbach and K Losses</x:v>
      </x:c>
      <x:c r="N1" s="17" t="str">
        <x:v>Pipe Segment Calculation - Darcy-Weisbach and K Losses</x:v>
      </x:c>
      <x:c r="O1" s="17" t="str">
        <x:v>Pipe Segment Calculation - Darcy-Weisbach and K Losses</x:v>
      </x:c>
      <x:c r="P1" s="17" t="str">
        <x:v>Pipe Segment Calculation - Darcy-Weisbach and K Losses</x:v>
      </x:c>
      <x:c r="Q1" s="17" t="str">
        <x:v>Pipe Segment Calculation - Darcy-Weisbach and K Losses</x:v>
      </x:c>
      <x:c r="R1" s="17" t="str">
        <x:v>Pipe Segment Calculation - Darcy-Weisbach and K Losses</x:v>
      </x:c>
      <x:c r="S1" s="17" t="str">
        <x:v>Pipe Segment Calculation - Darcy-Weisbach and K Losses</x:v>
      </x:c>
      <x:c r="T1" s="17" t="str">
        <x:v>Pipe Segment Calculation - Darcy-Weisbach and K Losses</x:v>
      </x:c>
      <x:c r="U1" s="17" t="str">
        <x:v>Pipe Segment Calculation - Darcy-Weisbach and K Losses</x:v>
      </x:c>
      <x:c r="V1" s="18"/>
      <x:c r="W1" s="18"/>
      <x:c r="X1" s="18"/>
      <x:c r="Y1" s="18"/>
      <x:c r="Z1" s="18"/>
    </x:row>
    <x:row r="2" ht="19.5" customHeight="1">
      <x:c r="A2" s="4" t="str">
        <x:v>Add_K overrides K_each in the same way as the application logic.</x:v>
      </x:c>
      <x:c r="B2" s="4" t="str">
        <x:v>Add_K overrides K_each in the same way as the application logic.</x:v>
      </x:c>
      <x:c r="C2" s="4" t="str">
        <x:v>Add_K overrides K_each in the same way as the application logic.</x:v>
      </x:c>
      <x:c r="D2" s="4" t="str">
        <x:v>Add_K overrides K_each in the same way as the application logic.</x:v>
      </x:c>
      <x:c r="E2" s="4" t="str">
        <x:v>Add_K overrides K_each in the same way as the application logic.</x:v>
      </x:c>
      <x:c r="F2" s="4" t="str">
        <x:v>Add_K overrides K_each in the same way as the application logic.</x:v>
      </x:c>
      <x:c r="G2" s="4" t="str">
        <x:v>Add_K overrides K_each in the same way as the application logic.</x:v>
      </x:c>
      <x:c r="H2" s="4" t="str">
        <x:v>Add_K overrides K_each in the same way as the application logic.</x:v>
      </x:c>
      <x:c r="I2" s="4" t="str">
        <x:v>Add_K overrides K_each in the same way as the application logic.</x:v>
      </x:c>
      <x:c r="J2" s="4" t="str">
        <x:v>Add_K overrides K_each in the same way as the application logic.</x:v>
      </x:c>
      <x:c r="K2" s="4" t="str">
        <x:v>Add_K overrides K_each in the same way as the application logic.</x:v>
      </x:c>
      <x:c r="L2" s="4" t="str">
        <x:v>Add_K overrides K_each in the same way as the application logic.</x:v>
      </x:c>
      <x:c r="M2" s="4" t="str">
        <x:v>Add_K overrides K_each in the same way as the application logic.</x:v>
      </x:c>
      <x:c r="N2" s="4" t="str">
        <x:v>Add_K overrides K_each in the same way as the application logic.</x:v>
      </x:c>
      <x:c r="O2" s="4" t="str">
        <x:v>Add_K overrides K_each in the same way as the application logic.</x:v>
      </x:c>
      <x:c r="P2" s="4" t="str">
        <x:v>Add_K overrides K_each in the same way as the application logic.</x:v>
      </x:c>
      <x:c r="Q2" s="4" t="str">
        <x:v>Add_K overrides K_each in the same way as the application logic.</x:v>
      </x:c>
      <x:c r="R2" s="4" t="str">
        <x:v>Add_K overrides K_each in the same way as the application logic.</x:v>
      </x:c>
      <x:c r="S2" s="4" t="str">
        <x:v>Add_K overrides K_each in the same way as the application logic.</x:v>
      </x:c>
      <x:c r="T2" s="4" t="str">
        <x:v>Add_K overrides K_each in the same way as the application logic.</x:v>
      </x:c>
      <x:c r="U2" s="4" t="str">
        <x:v>Add_K overrides K_each in the same way as the application logic.</x:v>
      </x:c>
    </x:row>
    <x:row r="4">
      <x:c r="A4" s="5" t="str">
        <x:v>Pipe</x:v>
      </x:c>
      <x:c r="B4" s="5" t="str">
        <x:v>Segment</x:v>
      </x:c>
      <x:c r="C4" s="5" t="str">
        <x:v>Role</x:v>
      </x:c>
      <x:c r="D4" s="5" t="str">
        <x:v>Description / Source</x:v>
      </x:c>
      <x:c r="E4" s="5" t="str">
        <x:v>Q</x:v>
      </x:c>
      <x:c r="F4" s="5" t="str">
        <x:v>ID</x:v>
      </x:c>
      <x:c r="G4" s="5" t="str">
        <x:v>Length</x:v>
      </x:c>
      <x:c r="H4" s="5" t="str">
        <x:v>Roughness</x:v>
      </x:c>
      <x:c r="I4" s="5" t="str">
        <x:v>Qty</x:v>
      </x:c>
      <x:c r="J4" s="5" t="str">
        <x:v>K each</x:v>
      </x:c>
      <x:c r="K4" s="5" t="str">
        <x:v>Add K</x:v>
      </x:c>
      <x:c r="L4" s="5" t="str">
        <x:v>Allowance</x:v>
      </x:c>
      <x:c r="M4" s="5" t="str">
        <x:v>K total</x:v>
      </x:c>
      <x:c r="N4" s="5" t="str">
        <x:v>Area</x:v>
      </x:c>
      <x:c r="O4" s="5" t="str">
        <x:v>Velocity</x:v>
      </x:c>
      <x:c r="P4" s="5" t="str">
        <x:v>Reynolds</x:v>
      </x:c>
      <x:c r="Q4" s="5" t="str">
        <x:v>f Darcy</x:v>
      </x:c>
      <x:c r="R4" s="5" t="str">
        <x:v>V2/2g</x:v>
      </x:c>
      <x:c r="S4" s="5" t="str">
        <x:v>Major hL</x:v>
      </x:c>
      <x:c r="T4" s="5" t="str">
        <x:v>Minor hL</x:v>
      </x:c>
      <x:c r="U4" s="5" t="str">
        <x:v>Total hL</x:v>
      </x:c>
    </x:row>
    <x:row r="5">
      <x:c r="A5" s="7" t="str">
        <x:v>PIPE-1</x:v>
      </x:c>
      <x:c r="B5" s="7" t="str">
        <x:v>PIPE-1-Seg-1</x:v>
      </x:c>
      <x:c r="C5" s="7" t="str">
        <x:v>Suction</x:v>
      </x:c>
      <x:c r="D5" s="7" t="str">
        <x:v>Imported from Aspen HYSYS XML segment type: Pipe; HYSYS material: Galvanized Iron</x:v>
      </x:c>
      <x:c r="E5" s="13" t="n">
        <x:v>50.033997</x:v>
      </x:c>
      <x:c r="F5" s="14" t="n">
        <x:v>0.098</x:v>
      </x:c>
      <x:c r="G5" s="14" t="n">
        <x:v>2</x:v>
      </x:c>
      <x:c r="H5" s="14" t="n">
        <x:v>0.000152</x:v>
      </x:c>
      <x:c r="I5" s="13" t="n">
        <x:v>0</x:v>
      </x:c>
      <x:c r="J5" s="13" t="n">
        <x:v>0</x:v>
      </x:c>
      <x:c r="K5" s="13" t="n">
        <x:v>0</x:v>
      </x:c>
      <x:c r="L5" s="13" t="n">
        <x:v>0</x:v>
      </x:c>
      <x:c r="M5" s="13" t="n">
        <x:f>IF(K5&gt;0,K5,I5*J5)</x:f>
        <x:v>0</x:v>
      </x:c>
      <x:c r="N5" s="15" t="n">
        <x:f>PI()*F5^2/4</x:f>
        <x:v>0.0075429639612690945</x:v>
      </x:c>
      <x:c r="O5" s="15" t="n">
        <x:f>IF(N5=0,0,E5/3600/N5)</x:f>
        <x:v>1.8425558668136102</x:v>
      </x:c>
      <x:c r="P5" s="15" t="n">
        <x:f>IF(F5=0,0,O5*F5/('Inputs'!$C$10*1E-6))</x:f>
        <x:v>614563.4259021049</x:v>
      </x:c>
      <x:c r="Q5" s="15" t="n">
        <x:f>IF(P5&lt;=0,0,IF(P5&lt;=2300,64/P5,0.25/(LOG10((H5/F5)/3.7+5.74/(P5^0.9)))^2))</x:f>
        <x:v>0.02237863107967287</x:v>
      </x:c>
      <x:c r="R5" s="15" t="n">
        <x:f>O5^2/(2*'Inputs'!$C$5)</x:f>
        <x:v>0.17309744521978732</x:v>
      </x:c>
      <x:c r="S5" s="15" t="n">
        <x:f>IF(F5=0,0,Q5*(G5/F5)*R5)</x:f>
        <x:v>0.07905477280423477</x:v>
      </x:c>
      <x:c r="T5" s="15" t="n">
        <x:f>M5*R5</x:f>
        <x:v>0</x:v>
      </x:c>
      <x:c r="U5" s="15" t="n">
        <x:f>(S5+T5)*(1+L5/100)</x:f>
        <x:v>0.07905477280423477</x:v>
      </x:c>
    </x:row>
    <x:row r="6">
      <x:c r="A6" s="7" t="str">
        <x:v>PIPE-1</x:v>
      </x:c>
      <x:c r="B6" s="7" t="str">
        <x:v>PIPE-1-Seg-2</x:v>
      </x:c>
      <x:c r="C6" s="7" t="str">
        <x:v>Suction</x:v>
      </x:c>
      <x:c r="D6" s="7" t="str">
        <x:v>Imported from Aspen HYSYS XML segment type: Globe Valve: Open; HYSYS material: Galvanized Iron; HYSYS fitting source: Perry 5th ed, Table 5-19</x:v>
      </x:c>
      <x:c r="E6" s="13" t="n">
        <x:v>50.033997</x:v>
      </x:c>
      <x:c r="F6" s="14" t="n">
        <x:v>0.098</x:v>
      </x:c>
      <x:c r="G6" s="14" t="n">
        <x:v>0</x:v>
      </x:c>
      <x:c r="H6" s="14" t="n">
        <x:v>0.000152</x:v>
      </x:c>
      <x:c r="I6" s="13" t="n">
        <x:v>1</x:v>
      </x:c>
      <x:c r="J6" s="13" t="n">
        <x:v>6</x:v>
      </x:c>
      <x:c r="K6" s="13" t="n">
        <x:v>0</x:v>
      </x:c>
      <x:c r="L6" s="13" t="n">
        <x:v>0</x:v>
      </x:c>
      <x:c r="M6" s="13" t="n">
        <x:f>IF(K6&gt;0,K6,I6*J6)</x:f>
        <x:v>6</x:v>
      </x:c>
      <x:c r="N6" s="15" t="n">
        <x:f>PI()*F6^2/4</x:f>
        <x:v>0.0075429639612690945</x:v>
      </x:c>
      <x:c r="O6" s="15" t="n">
        <x:f>IF(N6=0,0,E6/3600/N6)</x:f>
        <x:v>1.8425558668136102</x:v>
      </x:c>
      <x:c r="P6" s="15" t="n">
        <x:f>IF(F6=0,0,O6*F6/('Inputs'!$C$10*1E-6))</x:f>
        <x:v>614563.4259021049</x:v>
      </x:c>
      <x:c r="Q6" s="15" t="n">
        <x:f>IF(P6&lt;=0,0,IF(P6&lt;=2300,64/P6,0.25/(LOG10((H6/F6)/3.7+5.74/(P6^0.9)))^2))</x:f>
        <x:v>0.02237863107967287</x:v>
      </x:c>
      <x:c r="R6" s="15" t="n">
        <x:f>O6^2/(2*'Inputs'!$C$5)</x:f>
        <x:v>0.17309744521978732</x:v>
      </x:c>
      <x:c r="S6" s="15" t="n">
        <x:f>IF(F6=0,0,Q6*(G6/F6)*R6)</x:f>
        <x:v>0</x:v>
      </x:c>
      <x:c r="T6" s="15" t="n">
        <x:f>M6*R6</x:f>
        <x:v>1.038584671318724</x:v>
      </x:c>
      <x:c r="U6" s="15" t="n">
        <x:f>(S6+T6)*(1+L6/100)</x:f>
        <x:v>1.038584671318724</x:v>
      </x:c>
    </x:row>
    <x:row r="7">
      <x:c r="A7" s="7" t="str">
        <x:v>PIPE-1</x:v>
      </x:c>
      <x:c r="B7" s="7" t="str">
        <x:v>PIPE-1-Seg-3</x:v>
      </x:c>
      <x:c r="C7" s="7" t="str">
        <x:v>Suction</x:v>
      </x:c>
      <x:c r="D7" s="7" t="str">
        <x:v>Imported from Aspen HYSYS XML segment type: Globe Valve: Open; HYSYS material: Galvanized Iron; HYSYS fitting source: Perry 5th ed, Table 5-19</x:v>
      </x:c>
      <x:c r="E7" s="13" t="n">
        <x:v>50.033997</x:v>
      </x:c>
      <x:c r="F7" s="14" t="n">
        <x:v>0.098</x:v>
      </x:c>
      <x:c r="G7" s="14" t="n">
        <x:v>0</x:v>
      </x:c>
      <x:c r="H7" s="14" t="n">
        <x:v>0.000152</x:v>
      </x:c>
      <x:c r="I7" s="13" t="n">
        <x:v>1</x:v>
      </x:c>
      <x:c r="J7" s="13" t="n">
        <x:v>6</x:v>
      </x:c>
      <x:c r="K7" s="13" t="n">
        <x:v>0</x:v>
      </x:c>
      <x:c r="L7" s="13" t="n">
        <x:v>0</x:v>
      </x:c>
      <x:c r="M7" s="13" t="n">
        <x:f>IF(K7&gt;0,K7,I7*J7)</x:f>
        <x:v>6</x:v>
      </x:c>
      <x:c r="N7" s="15" t="n">
        <x:f>PI()*F7^2/4</x:f>
        <x:v>0.0075429639612690945</x:v>
      </x:c>
      <x:c r="O7" s="15" t="n">
        <x:f>IF(N7=0,0,E7/3600/N7)</x:f>
        <x:v>1.8425558668136102</x:v>
      </x:c>
      <x:c r="P7" s="15" t="n">
        <x:f>IF(F7=0,0,O7*F7/('Inputs'!$C$10*1E-6))</x:f>
        <x:v>614563.4259021049</x:v>
      </x:c>
      <x:c r="Q7" s="15" t="n">
        <x:f>IF(P7&lt;=0,0,IF(P7&lt;=2300,64/P7,0.25/(LOG10((H7/F7)/3.7+5.74/(P7^0.9)))^2))</x:f>
        <x:v>0.02237863107967287</x:v>
      </x:c>
      <x:c r="R7" s="15" t="n">
        <x:f>O7^2/(2*'Inputs'!$C$5)</x:f>
        <x:v>0.17309744521978732</x:v>
      </x:c>
      <x:c r="S7" s="15" t="n">
        <x:f>IF(F7=0,0,Q7*(G7/F7)*R7)</x:f>
        <x:v>0</x:v>
      </x:c>
      <x:c r="T7" s="15" t="n">
        <x:f>M7*R7</x:f>
        <x:v>1.038584671318724</x:v>
      </x:c>
      <x:c r="U7" s="15" t="n">
        <x:f>(S7+T7)*(1+L7/100)</x:f>
        <x:v>1.038584671318724</x:v>
      </x:c>
    </x:row>
    <x:row r="8">
      <x:c r="A8" s="7" t="str">
        <x:v>PIPE-1</x:v>
      </x:c>
      <x:c r="B8" s="7" t="str">
        <x:v>PIPE-1-Seg-4</x:v>
      </x:c>
      <x:c r="C8" s="7" t="str">
        <x:v>Suction</x:v>
      </x:c>
      <x:c r="D8" s="7" t="str">
        <x:v>Imported from Aspen HYSYS XML segment type: Elbow: 90 Long; HYSYS material: Galvanized Iron; HYSYS fitting source: Perry 5th ed, Table 5-19</x:v>
      </x:c>
      <x:c r="E8" s="13" t="n">
        <x:v>50.033997</x:v>
      </x:c>
      <x:c r="F8" s="14" t="n">
        <x:v>0.098</x:v>
      </x:c>
      <x:c r="G8" s="14" t="n">
        <x:v>0</x:v>
      </x:c>
      <x:c r="H8" s="14" t="n">
        <x:v>0.000152</x:v>
      </x:c>
      <x:c r="I8" s="13" t="n">
        <x:v>1</x:v>
      </x:c>
      <x:c r="J8" s="13" t="n">
        <x:v>0.45</x:v>
      </x:c>
      <x:c r="K8" s="13" t="n">
        <x:v>0</x:v>
      </x:c>
      <x:c r="L8" s="13" t="n">
        <x:v>0</x:v>
      </x:c>
      <x:c r="M8" s="13" t="n">
        <x:f>IF(K8&gt;0,K8,I8*J8)</x:f>
        <x:v>0.45</x:v>
      </x:c>
      <x:c r="N8" s="15" t="n">
        <x:f>PI()*F8^2/4</x:f>
        <x:v>0.0075429639612690945</x:v>
      </x:c>
      <x:c r="O8" s="15" t="n">
        <x:f>IF(N8=0,0,E8/3600/N8)</x:f>
        <x:v>1.8425558668136102</x:v>
      </x:c>
      <x:c r="P8" s="15" t="n">
        <x:f>IF(F8=0,0,O8*F8/('Inputs'!$C$10*1E-6))</x:f>
        <x:v>614563.4259021049</x:v>
      </x:c>
      <x:c r="Q8" s="15" t="n">
        <x:f>IF(P8&lt;=0,0,IF(P8&lt;=2300,64/P8,0.25/(LOG10((H8/F8)/3.7+5.74/(P8^0.9)))^2))</x:f>
        <x:v>0.02237863107967287</x:v>
      </x:c>
      <x:c r="R8" s="15" t="n">
        <x:f>O8^2/(2*'Inputs'!$C$5)</x:f>
        <x:v>0.17309744521978732</x:v>
      </x:c>
      <x:c r="S8" s="15" t="n">
        <x:f>IF(F8=0,0,Q8*(G8/F8)*R8)</x:f>
        <x:v>0</x:v>
      </x:c>
      <x:c r="T8" s="15" t="n">
        <x:f>M8*R8</x:f>
        <x:v>0.0778938503489043</x:v>
      </x:c>
      <x:c r="U8" s="15" t="n">
        <x:f>(S8+T8)*(1+L8/100)</x:f>
        <x:v>0.0778938503489043</x:v>
      </x:c>
    </x:row>
    <x:row r="9">
      <x:c r="A9" s="7" t="str">
        <x:v>PIPE-2</x:v>
      </x:c>
      <x:c r="B9" s="7" t="str">
        <x:v>PIPE-2-Seg-1</x:v>
      </x:c>
      <x:c r="C9" s="7" t="str">
        <x:v>Discharge</x:v>
      </x:c>
      <x:c r="D9" s="7" t="str">
        <x:v>Imported from Aspen HYSYS XML segment type: Pipe; HYSYS material: Galvanized Iron</x:v>
      </x:c>
      <x:c r="E9" s="13" t="n">
        <x:v>50.033997</x:v>
      </x:c>
      <x:c r="F9" s="14" t="n">
        <x:v>0.0738</x:v>
      </x:c>
      <x:c r="G9" s="14" t="n">
        <x:v>10</x:v>
      </x:c>
      <x:c r="H9" s="14" t="n">
        <x:v>0.000152</x:v>
      </x:c>
      <x:c r="I9" s="13" t="n">
        <x:v>0</x:v>
      </x:c>
      <x:c r="J9" s="13" t="n">
        <x:v>0</x:v>
      </x:c>
      <x:c r="K9" s="13" t="n">
        <x:v>0</x:v>
      </x:c>
      <x:c r="L9" s="13" t="n">
        <x:v>0</x:v>
      </x:c>
      <x:c r="M9" s="13" t="n">
        <x:f>IF(K9&gt;0,K9,I9*J9)</x:f>
        <x:v>0</x:v>
      </x:c>
      <x:c r="N9" s="15" t="n">
        <x:f>PI()*F9^2/4</x:f>
        <x:v>0.004277623973054399</x:v>
      </x:c>
      <x:c r="O9" s="15" t="n">
        <x:f>IF(N9=0,0,E9/3600/N9)</x:f>
        <x:v>3.249077662634292</x:v>
      </x:c>
      <x:c r="P9" s="15" t="n">
        <x:f>IF(F9=0,0,O9*F9/('Inputs'!$C$10*1E-6))</x:f>
        <x:v>816086.9341247465</x:v>
      </x:c>
      <x:c r="Q9" s="15" t="n">
        <x:f>IF(P9&lt;=0,0,IF(P9&lt;=2300,64/P9,0.25/(LOG10((H9/F9)/3.7+5.74/(P9^0.9)))^2))</x:f>
        <x:v>0.02391053229238613</x:v>
      </x:c>
      <x:c r="R9" s="15" t="n">
        <x:f>O9^2/(2*'Inputs'!$C$5)</x:f>
        <x:v>0.538231998584079</x:v>
      </x:c>
      <x:c r="S9" s="15" t="n">
        <x:f>IF(F9=0,0,Q9*(G9/F9)*R9)</x:f>
        <x:v>1.743822978718177</x:v>
      </x:c>
      <x:c r="T9" s="15" t="n">
        <x:f>M9*R9</x:f>
        <x:v>0</x:v>
      </x:c>
      <x:c r="U9" s="15" t="n">
        <x:f>(S9+T9)*(1+L9/100)</x:f>
        <x:v>1.743822978718177</x:v>
      </x:c>
    </x:row>
    <x:row r="10">
      <x:c r="A10" s="7" t="str">
        <x:v>PIPE-2</x:v>
      </x:c>
      <x:c r="B10" s="7" t="str">
        <x:v>PIPE-2-Seg-2</x:v>
      </x:c>
      <x:c r="C10" s="7" t="str">
        <x:v>Discharge</x:v>
      </x:c>
      <x:c r="D10" s="7" t="str">
        <x:v>Imported from Aspen HYSYS XML segment type: Globe Valve: Open; HYSYS material: Galvanized Iron; HYSYS fitting source: Perry 5th ed, Table 5-19</x:v>
      </x:c>
      <x:c r="E10" s="13" t="n">
        <x:v>50.033997</x:v>
      </x:c>
      <x:c r="F10" s="14" t="n">
        <x:v>0.0738</x:v>
      </x:c>
      <x:c r="G10" s="14" t="n">
        <x:v>0</x:v>
      </x:c>
      <x:c r="H10" s="14" t="n">
        <x:v>0.000152</x:v>
      </x:c>
      <x:c r="I10" s="13" t="n">
        <x:v>1</x:v>
      </x:c>
      <x:c r="J10" s="13" t="n">
        <x:v>6</x:v>
      </x:c>
      <x:c r="K10" s="13" t="n">
        <x:v>0</x:v>
      </x:c>
      <x:c r="L10" s="13" t="n">
        <x:v>0</x:v>
      </x:c>
      <x:c r="M10" s="13" t="n">
        <x:f>IF(K10&gt;0,K10,I10*J10)</x:f>
        <x:v>6</x:v>
      </x:c>
      <x:c r="N10" s="15" t="n">
        <x:f>PI()*F10^2/4</x:f>
        <x:v>0.004277623973054399</x:v>
      </x:c>
      <x:c r="O10" s="15" t="n">
        <x:f>IF(N10=0,0,E10/3600/N10)</x:f>
        <x:v>3.249077662634292</x:v>
      </x:c>
      <x:c r="P10" s="15" t="n">
        <x:f>IF(F10=0,0,O10*F10/('Inputs'!$C$10*1E-6))</x:f>
        <x:v>816086.9341247465</x:v>
      </x:c>
      <x:c r="Q10" s="15" t="n">
        <x:f>IF(P10&lt;=0,0,IF(P10&lt;=2300,64/P10,0.25/(LOG10((H10/F10)/3.7+5.74/(P10^0.9)))^2))</x:f>
        <x:v>0.02391053229238613</x:v>
      </x:c>
      <x:c r="R10" s="15" t="n">
        <x:f>O10^2/(2*'Inputs'!$C$5)</x:f>
        <x:v>0.538231998584079</x:v>
      </x:c>
      <x:c r="S10" s="15" t="n">
        <x:f>IF(F10=0,0,Q10*(G10/F10)*R10)</x:f>
        <x:v>0</x:v>
      </x:c>
      <x:c r="T10" s="15" t="n">
        <x:f>M10*R10</x:f>
        <x:v>3.2293919915044738</x:v>
      </x:c>
      <x:c r="U10" s="15" t="n">
        <x:f>(S10+T10)*(1+L10/100)</x:f>
        <x:v>3.2293919915044738</x:v>
      </x:c>
    </x:row>
    <x:row r="11">
      <x:c r="A11" s="7" t="str">
        <x:v>PIPE-2</x:v>
      </x:c>
      <x:c r="B11" s="7" t="str">
        <x:v>PIPE-2-Seg-3</x:v>
      </x:c>
      <x:c r="C11" s="7" t="str">
        <x:v>Discharge</x:v>
      </x:c>
      <x:c r="D11" s="7" t="str">
        <x:v>Imported from Aspen HYSYS XML segment type: Check Valve: Swing; HYSYS material: Galvanized Iron; HYSYS fitting source: Perry 5th ed, Table 5-19</x:v>
      </x:c>
      <x:c r="E11" s="13" t="n">
        <x:v>50.033997</x:v>
      </x:c>
      <x:c r="F11" s="14" t="n">
        <x:v>0.0738</x:v>
      </x:c>
      <x:c r="G11" s="14" t="n">
        <x:v>0</x:v>
      </x:c>
      <x:c r="H11" s="14" t="n">
        <x:v>0.000152</x:v>
      </x:c>
      <x:c r="I11" s="13" t="n">
        <x:v>1</x:v>
      </x:c>
      <x:c r="J11" s="13" t="n">
        <x:v>2</x:v>
      </x:c>
      <x:c r="K11" s="13" t="n">
        <x:v>0</x:v>
      </x:c>
      <x:c r="L11" s="13" t="n">
        <x:v>0</x:v>
      </x:c>
      <x:c r="M11" s="13" t="n">
        <x:f>IF(K11&gt;0,K11,I11*J11)</x:f>
        <x:v>2</x:v>
      </x:c>
      <x:c r="N11" s="15" t="n">
        <x:f>PI()*F11^2/4</x:f>
        <x:v>0.004277623973054399</x:v>
      </x:c>
      <x:c r="O11" s="15" t="n">
        <x:f>IF(N11=0,0,E11/3600/N11)</x:f>
        <x:v>3.249077662634292</x:v>
      </x:c>
      <x:c r="P11" s="15" t="n">
        <x:f>IF(F11=0,0,O11*F11/('Inputs'!$C$10*1E-6))</x:f>
        <x:v>816086.9341247465</x:v>
      </x:c>
      <x:c r="Q11" s="15" t="n">
        <x:f>IF(P11&lt;=0,0,IF(P11&lt;=2300,64/P11,0.25/(LOG10((H11/F11)/3.7+5.74/(P11^0.9)))^2))</x:f>
        <x:v>0.02391053229238613</x:v>
      </x:c>
      <x:c r="R11" s="15" t="n">
        <x:f>O11^2/(2*'Inputs'!$C$5)</x:f>
        <x:v>0.538231998584079</x:v>
      </x:c>
      <x:c r="S11" s="15" t="n">
        <x:f>IF(F11=0,0,Q11*(G11/F11)*R11)</x:f>
        <x:v>0</x:v>
      </x:c>
      <x:c r="T11" s="15" t="n">
        <x:f>M11*R11</x:f>
        <x:v>1.076463997168158</x:v>
      </x:c>
      <x:c r="U11" s="15" t="n">
        <x:f>(S11+T11)*(1+L11/100)</x:f>
        <x:v>1.076463997168158</x:v>
      </x:c>
    </x:row>
    <x:row r="12">
      <x:c r="A12" s="7" t="str">
        <x:v>PIPE-2</x:v>
      </x:c>
      <x:c r="B12" s="7" t="str">
        <x:v>PIPE-2-Seg-4</x:v>
      </x:c>
      <x:c r="C12" s="7" t="str">
        <x:v>Discharge</x:v>
      </x:c>
      <x:c r="D12" s="7" t="str">
        <x:v>Imported from Aspen HYSYS XML segment type: Elbow: 90 Long; HYSYS material: Galvanized Iron; HYSYS fitting source: Perry 5th ed, Table 5-19</x:v>
      </x:c>
      <x:c r="E12" s="13" t="n">
        <x:v>50.033997</x:v>
      </x:c>
      <x:c r="F12" s="14" t="n">
        <x:v>0.0738</x:v>
      </x:c>
      <x:c r="G12" s="14" t="n">
        <x:v>0</x:v>
      </x:c>
      <x:c r="H12" s="14" t="n">
        <x:v>0.000152</x:v>
      </x:c>
      <x:c r="I12" s="13" t="n">
        <x:v>6</x:v>
      </x:c>
      <x:c r="J12" s="13" t="n">
        <x:v>0.45</x:v>
      </x:c>
      <x:c r="K12" s="13" t="n">
        <x:v>0</x:v>
      </x:c>
      <x:c r="L12" s="13" t="n">
        <x:v>0</x:v>
      </x:c>
      <x:c r="M12" s="13" t="n">
        <x:f>IF(K12&gt;0,K12,I12*J12)</x:f>
        <x:v>2.7</x:v>
      </x:c>
      <x:c r="N12" s="15" t="n">
        <x:f>PI()*F12^2/4</x:f>
        <x:v>0.004277623973054399</x:v>
      </x:c>
      <x:c r="O12" s="15" t="n">
        <x:f>IF(N12=0,0,E12/3600/N12)</x:f>
        <x:v>3.249077662634292</x:v>
      </x:c>
      <x:c r="P12" s="15" t="n">
        <x:f>IF(F12=0,0,O12*F12/('Inputs'!$C$10*1E-6))</x:f>
        <x:v>816086.9341247465</x:v>
      </x:c>
      <x:c r="Q12" s="15" t="n">
        <x:f>IF(P12&lt;=0,0,IF(P12&lt;=2300,64/P12,0.25/(LOG10((H12/F12)/3.7+5.74/(P12^0.9)))^2))</x:f>
        <x:v>0.02391053229238613</x:v>
      </x:c>
      <x:c r="R12" s="15" t="n">
        <x:f>O12^2/(2*'Inputs'!$C$5)</x:f>
        <x:v>0.538231998584079</x:v>
      </x:c>
      <x:c r="S12" s="15" t="n">
        <x:f>IF(F12=0,0,Q12*(G12/F12)*R12)</x:f>
        <x:v>0</x:v>
      </x:c>
      <x:c r="T12" s="15" t="n">
        <x:f>M12*R12</x:f>
        <x:v>1.4532263961770133</x:v>
      </x:c>
      <x:c r="U12" s="15" t="n">
        <x:f>(S12+T12)*(1+L12/100)</x:f>
        <x:v>1.4532263961770133</x:v>
      </x:c>
    </x:row>
    <x:row r="15">
      <x:c r="A15" s="16" t="str">
        <x:v>Trace note</x:v>
      </x:c>
      <x:c r="B15" s="16" t="str">
        <x:v>K total</x:v>
      </x:c>
      <x:c r="C15" s="16" t="str">
        <x:v>IF(Add_K &gt; 0, Add_K, Qty x K_each)</x:v>
      </x:c>
      <x:c r="D15" s="16" t="str">
        <x:v>This mirrors the latest app rule: Add K is the direct total local-loss coefficient for the segment.</x:v>
      </x:c>
    </x:row>
    <x:row r="16">
      <x:c r="A16" s="16" t="str">
        <x:v>Trace note</x:v>
      </x:c>
      <x:c r="B16" s="16" t="str">
        <x:v>Major loss</x:v>
      </x:c>
      <x:c r="C16" s="16" t="str">
        <x:v>hL_major = f(L/D)(V2/2g)</x:v>
      </x:c>
      <x:c r="D16" s="16" t="str">
        <x:v>Darcy-Weisbach equation.</x:v>
      </x:c>
    </x:row>
    <x:row r="17">
      <x:c r="A17" s="16" t="str">
        <x:v>Trace note</x:v>
      </x:c>
      <x:c r="B17" s="16" t="str">
        <x:v>Minor loss</x:v>
      </x:c>
      <x:c r="C17" s="16" t="str">
        <x:v>hL_minor = K_total(V2/2g)</x:v>
      </x:c>
      <x:c r="D17" s="16" t="str">
        <x:v>Minor/fitting loss equation.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.66999816894531" hidden="0" customWidth="1"/>
    <x:col min="2" max="2" width="20.860000610351562" hidden="0" customWidth="1"/>
    <x:col min="3" max="3" width="11.4399995803833" hidden="0" customWidth="1"/>
    <x:col min="4" max="4" width="63.93000030517578" hidden="0" customWidth="1"/>
    <x:col min="5" max="5" width="14.130000114440918" hidden="0" customWidth="1"/>
    <x:col min="6" max="6" width="22.209999084472656" hidden="0" customWidth="1"/>
  </x:cols>
  <x:sheetData>
    <x:row r="1" ht="25.5" customHeight="1">
      <x:c r="A1" s="17" t="str">
        <x:v>Route, Pump, Sink, and NPSH Evaluation</x:v>
      </x:c>
      <x:c r="B1" s="17" t="str">
        <x:v>Route, Pump, Sink, and NPSH Evaluation</x:v>
      </x:c>
      <x:c r="C1" s="17" t="str">
        <x:v>Route, Pump, Sink, and NPSH Evaluation</x:v>
      </x:c>
      <x:c r="D1" s="17" t="str">
        <x:v>Route, Pump, Sink, and NPSH Evaluation</x:v>
      </x:c>
      <x:c r="E1" s="17" t="str">
        <x:v>Route, Pump, Sink, and NPSH Evaluation</x:v>
      </x:c>
      <x:c r="F1" s="17" t="str">
        <x:v>Route, Pump, Sink, and NPSH Evaluation</x:v>
      </x:c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19.5" customHeight="1">
      <x:c r="A2" s="4" t="str">
        <x:v>Formula cells reference Inputs and Pipe_Segments so the calculation route is auditable.</x:v>
      </x:c>
      <x:c r="B2" s="4" t="str">
        <x:v>Formula cells reference Inputs and Pipe_Segments so the calculation route is auditable.</x:v>
      </x:c>
      <x:c r="C2" s="4" t="str">
        <x:v>Formula cells reference Inputs and Pipe_Segments so the calculation route is auditable.</x:v>
      </x:c>
      <x:c r="D2" s="4" t="str">
        <x:v>Formula cells reference Inputs and Pipe_Segments so the calculation route is auditable.</x:v>
      </x:c>
      <x:c r="E2" s="4" t="str">
        <x:v>Formula cells reference Inputs and Pipe_Segments so the calculation route is auditable.</x:v>
      </x:c>
      <x:c r="F2" s="4" t="str">
        <x:v>Formula cells reference Inputs and Pipe_Segments so the calculation route is auditable.</x:v>
      </x:c>
    </x:row>
    <x:row r="4">
      <x:c r="A4" s="5" t="str">
        <x:v>Block</x:v>
      </x:c>
      <x:c r="B4" s="5" t="str">
        <x:v>Result</x:v>
      </x:c>
      <x:c r="C4" s="5" t="str">
        <x:v>Unit</x:v>
      </x:c>
      <x:c r="D4" s="5" t="str">
        <x:v>Equation / Explanation</x:v>
      </x:c>
      <x:c r="E4" s="5" t="str">
        <x:v>Status</x:v>
      </x:c>
      <x:c r="F4" s="5" t="str">
        <x:v>Reference</x:v>
      </x:c>
    </x:row>
    <x:row r="5">
      <x:c r="A5" s="7" t="str">
        <x:v>Source pressure head</x:v>
      </x:c>
      <x:c r="B5" s="13" t="n">
        <x:f>'Inputs'!$C$15*100000/('Inputs'!$C$9*'Inputs'!$C$5)</x:f>
        <x:v>15.960524853531513</x:v>
      </x:c>
      <x:c r="C5" s="7" t="str">
        <x:v>m</x:v>
      </x:c>
      <x:c r="D5" s="7" t="str">
        <x:v>Hp,src = Psrc x 100000 / (rho x g)</x:v>
      </x:c>
      <x:c r="E5" s="7" t="str"/>
      <x:c r="F5" s="7" t="str">
        <x:v>Pressure-to-head conversion</x:v>
      </x:c>
    </x:row>
    <x:row r="6">
      <x:c r="A6" s="7" t="str">
        <x:v>Source elevation head</x:v>
      </x:c>
      <x:c r="B6" s="13" t="n">
        <x:f>'Inputs'!$C$16</x:f>
        <x:v>0</x:v>
      </x:c>
      <x:c r="C6" s="7" t="str">
        <x:v>m</x:v>
      </x:c>
      <x:c r="D6" s="7" t="str">
        <x:v>zSRC from source boundary</x:v>
      </x:c>
      <x:c r="E6" s="7" t="str"/>
      <x:c r="F6" s="7" t="str">
        <x:v>Boundary condition</x:v>
      </x:c>
    </x:row>
    <x:row r="7">
      <x:c r="A7" s="7" t="str">
        <x:v>Pump suction elevation</x:v>
      </x:c>
      <x:c r="B7" s="13" t="n">
        <x:f>'Inputs'!$C$24</x:f>
        <x:v>-0.5</x:v>
      </x:c>
      <x:c r="C7" s="7" t="str">
        <x:v>m</x:v>
      </x:c>
      <x:c r="D7" s="7" t="str">
        <x:v>zPump,suction from pump object</x:v>
      </x:c>
      <x:c r="E7" s="7" t="str"/>
      <x:c r="F7" s="7" t="str">
        <x:v>Object property</x:v>
      </x:c>
    </x:row>
    <x:row r="8">
      <x:c r="A8" s="7" t="str">
        <x:v>Total suction pipe loss</x:v>
      </x:c>
      <x:c r="B8" s="13" t="n">
        <x:f>SUMIFS('Pipe_Segments'!$U$5:$U$12,'Pipe_Segments'!$C$5:$C$12,"Suction")</x:f>
        <x:v>2.234117965790587</x:v>
      </x:c>
      <x:c r="C8" s="7" t="str">
        <x:v>m</x:v>
      </x:c>
      <x:c r="D8" s="7" t="str">
        <x:v>SUM Total hL where Role = Suction</x:v>
      </x:c>
      <x:c r="E8" s="7" t="str"/>
      <x:c r="F8" s="7" t="str">
        <x:v>Pipe_Segments</x:v>
      </x:c>
    </x:row>
    <x:row r="9">
      <x:c r="A9" s="7" t="str">
        <x:v>Vapor pressure head</x:v>
      </x:c>
      <x:c r="B9" s="13" t="n">
        <x:f>'Inputs'!$C$13</x:f>
        <x:v>10.791229406175617</x:v>
      </x:c>
      <x:c r="C9" s="7" t="str">
        <x:v>m</x:v>
      </x:c>
      <x:c r="D9" s="7" t="str">
        <x:v>Hvap = Pv x 100000 / (rho x g)</x:v>
      </x:c>
      <x:c r="E9" s="7" t="str"/>
      <x:c r="F9" s="7" t="str">
        <x:v>Fluid basis</x:v>
      </x:c>
    </x:row>
    <x:row r="10">
      <x:c r="A10" s="7" t="str">
        <x:v>NPSHa</x:v>
      </x:c>
      <x:c r="B10" s="13" t="n">
        <x:f>B5+B6-B7-B8-B9</x:f>
        <x:v>3.4351774815653098</x:v>
      </x:c>
      <x:c r="C10" s="7" t="str">
        <x:v>m</x:v>
      </x:c>
      <x:c r="D10" s="7" t="str">
        <x:v>NPSHa = Hp,src + zSRC - zPump,suction - hL,suction - Hvap</x:v>
      </x:c>
      <x:c r="E10" s="7" t="str"/>
      <x:c r="F10" s="7" t="str">
        <x:v>NPSH definition</x:v>
      </x:c>
    </x:row>
    <x:row r="11">
      <x:c r="A11" s="7" t="str">
        <x:v>NPSHr</x:v>
      </x:c>
      <x:c r="B11" s="13" t="n">
        <x:f>'Inputs'!$C$23</x:f>
        <x:v>2.4002</x:v>
      </x:c>
      <x:c r="C11" s="7" t="str">
        <x:v>m</x:v>
      </x:c>
      <x:c r="D11" s="7" t="str">
        <x:v>Manual NPSHr imported from HYSYS XML</x:v>
      </x:c>
      <x:c r="E11" s="7" t="str"/>
      <x:c r="F11" s="7" t="str">
        <x:v>Pump object</x:v>
      </x:c>
    </x:row>
    <x:row r="12">
      <x:c r="A12" s="7" t="str">
        <x:v>NPSH margin</x:v>
      </x:c>
      <x:c r="B12" s="13" t="n">
        <x:f>B10-B11</x:f>
        <x:v>1.0349774815653099</x:v>
      </x:c>
      <x:c r="C12" s="7" t="str">
        <x:v>m</x:v>
      </x:c>
      <x:c r="D12" s="7" t="str">
        <x:v>Margin = NPSHa - NPSHr</x:v>
      </x:c>
      <x:c r="E12" s="7" t="str"/>
      <x:c r="F12" s="7" t="str">
        <x:v>ANSI/HI margin review</x:v>
      </x:c>
    </x:row>
    <x:row r="13">
      <x:c r="A13" s="7" t="str">
        <x:v>NPSH ratio</x:v>
      </x:c>
      <x:c r="B13" s="13" t="n">
        <x:f>IF(B11=0,"",B10/B11)</x:f>
        <x:v>1.431204683595246</x:v>
      </x:c>
      <x:c r="C13" s="7" t="str">
        <x:v>-</x:v>
      </x:c>
      <x:c r="D13" s="7" t="str">
        <x:v>Ratio = NPSHa / NPSHr</x:v>
      </x:c>
      <x:c r="E13" s="7" t="str"/>
      <x:c r="F13" s="7" t="str">
        <x:v>ANSI/HI margin review</x:v>
      </x:c>
    </x:row>
    <x:row r="14">
      <x:c r="A14" s="7" t="str">
        <x:v>Required NPSHa</x:v>
      </x:c>
      <x:c r="B14" s="13" t="n">
        <x:f>MAX(B11*'Inputs'!$C$26,B11+'Inputs'!$C$27)</x:f>
        <x:v>3.0002</x:v>
      </x:c>
      <x:c r="C14" s="7" t="str">
        <x:v>m</x:v>
      </x:c>
      <x:c r="D14" s="7" t="str">
        <x:v>MAX(NPSHr x minimum ratio, NPSHr + minimum margin)</x:v>
      </x:c>
      <x:c r="E14" s="7" t="str"/>
      <x:c r="F14" s="7" t="str">
        <x:v>Configured acceptance basis</x:v>
      </x:c>
    </x:row>
    <x:row r="15">
      <x:c r="A15" s="7" t="str">
        <x:v>NPSH excess above criterion</x:v>
      </x:c>
      <x:c r="B15" s="13" t="n">
        <x:f>B10-B14</x:f>
        <x:v>0.4349774815653098</x:v>
      </x:c>
      <x:c r="C15" s="7" t="str">
        <x:v>m</x:v>
      </x:c>
      <x:c r="D15" s="7" t="str">
        <x:v>Excess = NPSHa - Required NPSHa</x:v>
      </x:c>
      <x:c r="E15" s="7" t="str"/>
      <x:c r="F15" s="7" t="str">
        <x:v>Configured acceptance basis</x:v>
      </x:c>
    </x:row>
    <x:row r="16">
      <x:c r="A16" s="7" t="str">
        <x:v>Pump cavitation status</x:v>
      </x:c>
      <x:c r="B16" s="13" t="str">
        <x:f>IF(B10&lt;=B11,"CAVITATION RISK",IF(B15&lt;0,"WARNING","SAFE"))</x:f>
        <x:v>SAFE</x:v>
      </x:c>
      <x:c r="C16" s="7" t="str">
        <x:v>-</x:v>
      </x:c>
      <x:c r="D16" s="7" t="str">
        <x:v>SAFE when NPSHa &gt; NPSHr and configured margin is satisfied</x:v>
      </x:c>
      <x:c r="E16" s="7" t="str">
        <x:f>B16</x:f>
        <x:v>SAFE</x:v>
      </x:c>
      <x:c r="F16" s="7" t="str">
        <x:v>Application warning logic</x:v>
      </x:c>
    </x:row>
    <x:row r="17">
      <x:c r="A17" s="7" t="str">
        <x:v>Pump suction pressure</x:v>
      </x:c>
      <x:c r="B17" s="13" t="n">
        <x:f>(B5+B6-B7-B8)*'Inputs'!$C$9*'Inputs'!$C$5/100000</x:f>
        <x:v>1.3370243477231059</x:v>
      </x:c>
      <x:c r="C17" s="7" t="str">
        <x:v>bar a</x:v>
      </x:c>
      <x:c r="D17" s="7" t="str">
        <x:v>Psuction = (Hp,src + zSRC - zPump,suction - hL,suction) x rho x g / 100000</x:v>
      </x:c>
      <x:c r="E17" s="7" t="str"/>
      <x:c r="F17" s="7" t="str">
        <x:v>Suction terminal readout</x:v>
      </x:c>
    </x:row>
    <x:row r="18">
      <x:c r="A18" s="7" t="str">
        <x:v>Pump head at operating flow</x:v>
      </x:c>
      <x:c r="B18" s="13" t="n">
        <x:f>MAX(0,'Inputs'!$C$21*1.25-('Inputs'!$C$21*1.25-'Inputs'!$C$21)*('Inputs'!$C$17/'Inputs'!$C$20)^2)</x:f>
        <x:v>24.004629</x:v>
      </x:c>
      <x:c r="C18" s="7" t="str">
        <x:v>m</x:v>
      </x:c>
      <x:c r="D18" s="7" t="str">
        <x:v>Basic curve: H = Hshutoff - (Hshutoff - Hbep)(Q/BEP)^2</x:v>
      </x:c>
      <x:c r="E18" s="7" t="str"/>
      <x:c r="F18" s="7" t="str">
        <x:v>Pump performance model</x:v>
      </x:c>
    </x:row>
    <x:row r="19">
      <x:c r="A19" s="7" t="str">
        <x:v>Discharge pipe loss</x:v>
      </x:c>
      <x:c r="B19" s="13" t="n">
        <x:f>SUMIFS('Pipe_Segments'!$U$5:$U$12,'Pipe_Segments'!$C$5:$C$12,"Discharge")</x:f>
        <x:v>7.502905363567823</x:v>
      </x:c>
      <x:c r="C19" s="7" t="str">
        <x:v>m</x:v>
      </x:c>
      <x:c r="D19" s="7" t="str">
        <x:v>SUM Total hL where Role = Discharge</x:v>
      </x:c>
      <x:c r="E19" s="7" t="str"/>
      <x:c r="F19" s="7" t="str">
        <x:v>Pipe_Segments</x:v>
      </x:c>
    </x:row>
    <x:row r="20">
      <x:c r="A20" s="7" t="str">
        <x:v>System head for atmospheric outlet</x:v>
      </x:c>
      <x:c r="B20" s="13" t="n">
        <x:f>('Inputs'!$C$29-'Inputs'!$C$15)*100000/('Inputs'!$C$9*'Inputs'!$C$5)+('Inputs'!$C$30-'Inputs'!$C$16)+B8+B19</x:f>
        <x:v>14.557833014387434</x:v>
      </x:c>
      <x:c r="C20" s="7" t="str">
        <x:v>m</x:v>
      </x:c>
      <x:c r="D20" s="7" t="str">
        <x:v>Hsys = (Psnk - Psrc)head + (zSNK - zSRC) + hL,suction + hL,discharge</x:v>
      </x:c>
      <x:c r="E20" s="7" t="str"/>
      <x:c r="F20" s="7" t="str">
        <x:v>Bernoulli energy balance</x:v>
      </x:c>
    </x:row>
    <x:row r="21">
      <x:c r="A21" s="7" t="str">
        <x:v>Free-outlet head residual</x:v>
      </x:c>
      <x:c r="B21" s="13" t="n">
        <x:f>B18-B20</x:f>
        <x:v>9.446795985612567</x:v>
      </x:c>
      <x:c r="C21" s="7" t="str">
        <x:v>m</x:v>
      </x:c>
      <x:c r="D21" s="7" t="str">
        <x:v>Residual = Hpump - Hsys</x:v>
      </x:c>
      <x:c r="E21" s="7" t="str"/>
      <x:c r="F21" s="7" t="str">
        <x:v>Boundary residual check</x:v>
      </x:c>
    </x:row>
    <x:row r="22">
      <x:c r="A22" s="7" t="str">
        <x:v>Free-outlet pressure residual</x:v>
      </x:c>
      <x:c r="B22" s="13" t="n">
        <x:f>B21*'Inputs'!$C$9*'Inputs'!$C$5/100000</x:f>
        <x:v>0.8878275688586442</x:v>
      </x:c>
      <x:c r="C22" s="7" t="str">
        <x:v>bar</x:v>
      </x:c>
      <x:c r="D22" s="7" t="str">
        <x:v>Residual pressure = Residual head x rho x g / 100000</x:v>
      </x:c>
      <x:c r="E22" s="7" t="str"/>
      <x:c r="F22" s="7" t="str">
        <x:v>Boundary residual check</x:v>
      </x:c>
    </x:row>
    <x:row r="23">
      <x:c r="A23" s="7" t="str">
        <x:v>SNK required pressure at flow demand</x:v>
      </x:c>
      <x:c r="B23" s="13" t="n">
        <x:f>'Inputs'!$C$15+'Inputs'!$C$9*'Inputs'!$C$5/100000*(B18-('Inputs'!$C$30-'Inputs'!$C$16)-B8-B19)</x:f>
        <x:v>1.901077568858644</x:v>
      </x:c>
      <x:c r="C23" s="7" t="str">
        <x:v>bar a</x:v>
      </x:c>
      <x:c r="D23" s="7" t="str">
        <x:v>Preq = Psrc + rho*g/100000*(Hpump - (zSNK-zSRC) - hL,suction - hL,discharge)</x:v>
      </x:c>
      <x:c r="E23" s="7" t="str"/>
      <x:c r="F23" s="7" t="str">
        <x:v>Flow Demand Boundary readout</x:v>
      </x:c>
    </x:row>
    <x:row r="24">
      <x:c r="A24" s="7" t="str">
        <x:v>SNK boundary status</x:v>
      </x:c>
      <x:c r="B24" s="7" t="str">
        <x:f>IF('Inputs'!$C$28="Flow Demand Boundary","SAFE - required pressure is a readout",IF(ABS(B22)&gt;0.02,"WARNING","SAFE"))</x:f>
        <x:v>SAFE - required pressure is a readout</x:v>
      </x:c>
      <x:c r="C24" s="7" t="str">
        <x:v>-</x:v>
      </x:c>
      <x:c r="D24" s="7" t="str">
        <x:v>Flow Demand Boundary solves required pressure; pressure residual applies only to fixed pressure/free outlet mode.</x:v>
      </x:c>
      <x:c r="E24" s="7" t="str">
        <x:f>B24</x:f>
        <x:v>SAFE - required pressure is a readout</x:v>
      </x:c>
      <x:c r="F24" s="7" t="str">
        <x:v>SNK logic</x:v>
      </x:c>
    </x:row>
  </x:sheetData>
  <x:mergeCells>
    <x:mergeCell ref="A1:F1"/>
    <x:mergeCell ref="A2:F2"/>
  </x:mergeCells>
  <x:conditionalFormatting sqref="E16:E16">
    <x:cfRule type="containsText" dxfId="0" priority="1" operator="containsText" text="SAFE"/>
    <x:cfRule type="containsText" dxfId="1" priority="2" operator="containsText" text="WARNING"/>
    <x:cfRule type="containsText" dxfId="2" priority="3" operator="containsText" text="RISK"/>
  </x:conditionalFormatting>
  <x:conditionalFormatting sqref="E24:E24">
    <x:cfRule type="containsText" dxfId="3" priority="4" operator="containsText" text="SAF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4.130000114440918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14.800000190734863" hidden="0" customWidth="1"/>
    <x:col min="7" max="7" width="14.800000190734863" hidden="0" customWidth="1"/>
    <x:col min="8" max="8" width="31.6299991607666" hidden="0" customWidth="1"/>
  </x:cols>
  <x:sheetData>
    <x:row r="1" ht="25.5" customHeight="1">
      <x:c r="A1" s="17" t="str">
        <x:v>Pump Performance Curve and System Curve</x:v>
      </x:c>
      <x:c r="B1" s="17" t="str">
        <x:v>Pump Performance Curve and System Curve</x:v>
      </x:c>
      <x:c r="C1" s="17" t="str">
        <x:v>Pump Performance Curve and System Curve</x:v>
      </x:c>
      <x:c r="D1" s="17" t="str">
        <x:v>Pump Performance Curve and System Curve</x:v>
      </x:c>
      <x:c r="E1" s="17" t="str">
        <x:v>Pump Performance Curve and System Curve</x:v>
      </x:c>
      <x:c r="F1" s="17" t="str">
        <x:v>Pump Performance Curve and System Curve</x:v>
      </x:c>
      <x:c r="G1" s="17" t="str">
        <x:v>Pump Performance Curve and System Curve</x:v>
      </x:c>
      <x:c r="H1" s="17" t="str">
        <x:v>Pump Performance Curve and System Curve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19.5" customHeight="1">
      <x:c r="A2" s="4" t="str">
        <x:v>System curve is plotted as static head plus quadratic loss scaling for presentation.</x:v>
      </x:c>
      <x:c r="B2" s="4" t="str">
        <x:v>System curve is plotted as static head plus quadratic loss scaling for presentation.</x:v>
      </x:c>
      <x:c r="C2" s="4" t="str">
        <x:v>System curve is plotted as static head plus quadratic loss scaling for presentation.</x:v>
      </x:c>
      <x:c r="D2" s="4" t="str">
        <x:v>System curve is plotted as static head plus quadratic loss scaling for presentation.</x:v>
      </x:c>
      <x:c r="E2" s="4" t="str">
        <x:v>System curve is plotted as static head plus quadratic loss scaling for presentation.</x:v>
      </x:c>
      <x:c r="F2" s="4" t="str">
        <x:v>System curve is plotted as static head plus quadratic loss scaling for presentation.</x:v>
      </x:c>
      <x:c r="G2" s="4" t="str">
        <x:v>System curve is plotted as static head plus quadratic loss scaling for presentation.</x:v>
      </x:c>
      <x:c r="H2" s="4" t="str">
        <x:v>System curve is plotted as static head plus quadratic loss scaling for presentation.</x:v>
      </x:c>
    </x:row>
    <x:row r="4">
      <x:c r="A4" s="5" t="str">
        <x:v>Flow</x:v>
      </x:c>
      <x:c r="B4" s="5" t="str">
        <x:v>Pump Head</x:v>
      </x:c>
      <x:c r="C4" s="5" t="str">
        <x:v>System Curve</x:v>
      </x:c>
      <x:c r="D4" s="5" t="str">
        <x:v>NPSHr</x:v>
      </x:c>
      <x:c r="E4" s="5" t="str">
        <x:v>NPSHa</x:v>
      </x:c>
      <x:c r="F4" s="5" t="str">
        <x:v>Margin</x:v>
      </x:c>
      <x:c r="G4" s="5" t="str">
        <x:v>Status</x:v>
      </x:c>
      <x:c r="H4" s="5" t="str">
        <x:v>Trace note</x:v>
      </x:c>
    </x:row>
    <x:row r="5">
      <x:c r="A5" s="13" t="n">
        <x:v>0</x:v>
      </x:c>
      <x:c r="B5" s="13" t="n">
        <x:f>MAX(0,'Inputs'!$C$21*1.25-('Inputs'!$C$21*1.25-'Inputs'!$C$21)*(A5/'Inputs'!$C$20)^2)</x:f>
        <x:v>30.00578625</x:v>
      </x:c>
      <x:c r="C5" s="13" t="n">
        <x:f>'Route_NPSH'!$B$20-('Route_NPSH'!$B$8+'Route_NPSH'!$B$19)*(1-(A5/'Inputs'!$C$17)^2)</x:f>
        <x:v>4.820809685029024</x:v>
      </x:c>
      <x:c r="D5" s="13" t="n">
        <x:f>'Inputs'!$C$23</x:f>
        <x:v>2.4002</x:v>
      </x:c>
      <x:c r="E5" s="13" t="n">
        <x:f>'Route_NPSH'!$B$10</x:f>
        <x:v>3.4351774815653098</x:v>
      </x:c>
      <x:c r="F5" s="13" t="n">
        <x:f>E5-D5</x:f>
        <x:v>1.0349774815653099</x:v>
      </x:c>
      <x:c r="G5" s="7" t="str">
        <x:f>IF(E5&lt;=D5,"CAVITATION RISK",IF(F5&lt;'Inputs'!$C$27,"WARNING","SAFE"))</x:f>
        <x:v>SAFE</x:v>
      </x:c>
      <x:c r="H5" s="7" t="str">
        <x:v>Quadratic system curve uses operating-point losses for visual demonstration.</x:v>
      </x:c>
    </x:row>
    <x:row r="6">
      <x:c r="A6" s="13" t="n">
        <x:v>12.50849925</x:v>
      </x:c>
      <x:c r="B6" s="13" t="n">
        <x:f>MAX(0,'Inputs'!$C$21*1.25-('Inputs'!$C$21*1.25-'Inputs'!$C$21)*(A6/'Inputs'!$C$20)^2)</x:f>
        <x:v>29.630713921875</x:v>
      </x:c>
      <x:c r="C6" s="13" t="n">
        <x:f>'Route_NPSH'!$B$20-('Route_NPSH'!$B$8+'Route_NPSH'!$B$19)*(1-(A6/'Inputs'!$C$17)^2)</x:f>
        <x:v>5.429373643113925</x:v>
      </x:c>
      <x:c r="D6" s="13" t="n">
        <x:f>'Inputs'!$C$23</x:f>
        <x:v>2.4002</x:v>
      </x:c>
      <x:c r="E6" s="13" t="n">
        <x:f>'Route_NPSH'!$B$10</x:f>
        <x:v>3.4351774815653098</x:v>
      </x:c>
      <x:c r="F6" s="13" t="n">
        <x:f>E6-D6</x:f>
        <x:v>1.0349774815653099</x:v>
      </x:c>
      <x:c r="G6" s="7" t="str">
        <x:f>IF(E6&lt;=D6,"CAVITATION RISK",IF(F6&lt;'Inputs'!$C$27,"WARNING","SAFE"))</x:f>
        <x:v>SAFE</x:v>
      </x:c>
      <x:c r="H6" s="7" t="str">
        <x:v>Quadratic system curve uses operating-point losses for visual demonstration.</x:v>
      </x:c>
    </x:row>
    <x:row r="7">
      <x:c r="A7" s="13" t="n">
        <x:v>25.0169985</x:v>
      </x:c>
      <x:c r="B7" s="13" t="n">
        <x:f>MAX(0,'Inputs'!$C$21*1.25-('Inputs'!$C$21*1.25-'Inputs'!$C$21)*(A7/'Inputs'!$C$20)^2)</x:f>
        <x:v>28.5054969375</x:v>
      </x:c>
      <x:c r="C7" s="13" t="n">
        <x:f>'Route_NPSH'!$B$20-('Route_NPSH'!$B$8+'Route_NPSH'!$B$19)*(1-(A7/'Inputs'!$C$17)^2)</x:f>
        <x:v>7.255065517368626</x:v>
      </x:c>
      <x:c r="D7" s="13" t="n">
        <x:f>'Inputs'!$C$23</x:f>
        <x:v>2.4002</x:v>
      </x:c>
      <x:c r="E7" s="13" t="n">
        <x:f>'Route_NPSH'!$B$10</x:f>
        <x:v>3.4351774815653098</x:v>
      </x:c>
      <x:c r="F7" s="13" t="n">
        <x:f>E7-D7</x:f>
        <x:v>1.0349774815653099</x:v>
      </x:c>
      <x:c r="G7" s="7" t="str">
        <x:f>IF(E7&lt;=D7,"CAVITATION RISK",IF(F7&lt;'Inputs'!$C$27,"WARNING","SAFE"))</x:f>
        <x:v>SAFE</x:v>
      </x:c>
      <x:c r="H7" s="7" t="str">
        <x:v>Quadratic system curve uses operating-point losses for visual demonstration.</x:v>
      </x:c>
    </x:row>
    <x:row r="8">
      <x:c r="A8" s="13" t="n">
        <x:v>37.52549775</x:v>
      </x:c>
      <x:c r="B8" s="13" t="n">
        <x:f>MAX(0,'Inputs'!$C$21*1.25-('Inputs'!$C$21*1.25-'Inputs'!$C$21)*(A8/'Inputs'!$C$20)^2)</x:f>
        <x:v>26.630135296875</x:v>
      </x:c>
      <x:c r="C8" s="13" t="n">
        <x:f>'Route_NPSH'!$B$20-('Route_NPSH'!$B$8+'Route_NPSH'!$B$19)*(1-(A8/'Inputs'!$C$17)^2)</x:f>
        <x:v>10.29788530779313</x:v>
      </x:c>
      <x:c r="D8" s="13" t="n">
        <x:f>'Inputs'!$C$23</x:f>
        <x:v>2.4002</x:v>
      </x:c>
      <x:c r="E8" s="13" t="n">
        <x:f>'Route_NPSH'!$B$10</x:f>
        <x:v>3.4351774815653098</x:v>
      </x:c>
      <x:c r="F8" s="13" t="n">
        <x:f>E8-D8</x:f>
        <x:v>1.0349774815653099</x:v>
      </x:c>
      <x:c r="G8" s="7" t="str">
        <x:f>IF(E8&lt;=D8,"CAVITATION RISK",IF(F8&lt;'Inputs'!$C$27,"WARNING","SAFE"))</x:f>
        <x:v>SAFE</x:v>
      </x:c>
      <x:c r="H8" s="7" t="str">
        <x:v>Quadratic system curve uses operating-point losses for visual demonstration.</x:v>
      </x:c>
    </x:row>
    <x:row r="9">
      <x:c r="A9" s="13" t="n">
        <x:v>50.033997</x:v>
      </x:c>
      <x:c r="B9" s="13" t="n">
        <x:f>MAX(0,'Inputs'!$C$21*1.25-('Inputs'!$C$21*1.25-'Inputs'!$C$21)*(A9/'Inputs'!$C$20)^2)</x:f>
        <x:v>24.004629</x:v>
      </x:c>
      <x:c r="C9" s="13" t="n">
        <x:f>'Route_NPSH'!$B$20-('Route_NPSH'!$B$8+'Route_NPSH'!$B$19)*(1-(A9/'Inputs'!$C$17)^2)</x:f>
        <x:v>14.557833014387434</x:v>
      </x:c>
      <x:c r="D9" s="13" t="n">
        <x:f>'Inputs'!$C$23</x:f>
        <x:v>2.4002</x:v>
      </x:c>
      <x:c r="E9" s="13" t="n">
        <x:f>'Route_NPSH'!$B$10</x:f>
        <x:v>3.4351774815653098</x:v>
      </x:c>
      <x:c r="F9" s="13" t="n">
        <x:f>E9-D9</x:f>
        <x:v>1.0349774815653099</x:v>
      </x:c>
      <x:c r="G9" s="7" t="str">
        <x:f>IF(E9&lt;=D9,"CAVITATION RISK",IF(F9&lt;'Inputs'!$C$27,"WARNING","SAFE"))</x:f>
        <x:v>SAFE</x:v>
      </x:c>
      <x:c r="H9" s="7" t="str">
        <x:v>Quadratic system curve uses operating-point losses for visual demonstration.</x:v>
      </x:c>
    </x:row>
    <x:row r="10">
      <x:c r="A10" s="13" t="n">
        <x:v>55.0373967</x:v>
      </x:c>
      <x:c r="B10" s="13" t="n">
        <x:f>MAX(0,'Inputs'!$C$21*1.25-('Inputs'!$C$21*1.25-'Inputs'!$C$21)*(A10/'Inputs'!$C$20)^2)</x:f>
        <x:v>22.744385977500002</x:v>
      </x:c>
      <x:c r="C10" s="13" t="n">
        <x:f>'Route_NPSH'!$B$20-('Route_NPSH'!$B$8+'Route_NPSH'!$B$19)*(1-(A10/'Inputs'!$C$17)^2)</x:f>
        <x:v>16.602607913552703</x:v>
      </x:c>
      <x:c r="D10" s="13" t="n">
        <x:f>'Inputs'!$C$23</x:f>
        <x:v>2.4002</x:v>
      </x:c>
      <x:c r="E10" s="13" t="n">
        <x:f>'Route_NPSH'!$B$10</x:f>
        <x:v>3.4351774815653098</x:v>
      </x:c>
      <x:c r="F10" s="13" t="n">
        <x:f>E10-D10</x:f>
        <x:v>1.0349774815653099</x:v>
      </x:c>
      <x:c r="G10" s="7" t="str">
        <x:f>IF(E10&lt;=D10,"CAVITATION RISK",IF(F10&lt;'Inputs'!$C$27,"WARNING","SAFE"))</x:f>
        <x:v>SAFE</x:v>
      </x:c>
      <x:c r="H10" s="7" t="str">
        <x:v>Quadratic system curve uses operating-point losses for visual demonstration.</x:v>
      </x:c>
    </x:row>
    <x:row r="11">
      <x:c r="A11" s="13" t="n">
        <x:v>62.54249625</x:v>
      </x:c>
      <x:c r="B11" s="13" t="n">
        <x:f>MAX(0,'Inputs'!$C$21*1.25-('Inputs'!$C$21*1.25-'Inputs'!$C$21)*(A11/'Inputs'!$C$20)^2)</x:f>
        <x:v>20.628978046875</x:v>
      </x:c>
      <x:c r="C11" s="13" t="n">
        <x:f>'Route_NPSH'!$B$20-('Route_NPSH'!$B$8+'Route_NPSH'!$B$19)*(1-(A11/'Inputs'!$C$17)^2)</x:f>
        <x:v>20.03490863715154</x:v>
      </x:c>
      <x:c r="D11" s="13" t="n">
        <x:f>'Inputs'!$C$23</x:f>
        <x:v>2.4002</x:v>
      </x:c>
      <x:c r="E11" s="13" t="n">
        <x:f>'Route_NPSH'!$B$10</x:f>
        <x:v>3.4351774815653098</x:v>
      </x:c>
      <x:c r="F11" s="13" t="n">
        <x:f>E11-D11</x:f>
        <x:v>1.0349774815653099</x:v>
      </x:c>
      <x:c r="G11" s="7" t="str">
        <x:f>IF(E11&lt;=D11,"CAVITATION RISK",IF(F11&lt;'Inputs'!$C$27,"WARNING","SAFE"))</x:f>
        <x:v>SAFE</x:v>
      </x:c>
      <x:c r="H11" s="7" t="str">
        <x:v>Quadratic system curve uses operating-point losses for visual demonstration.</x:v>
      </x:c>
    </x:row>
    <x:row r="12">
      <x:c r="A12" s="13" t="n">
        <x:v>75.0509955</x:v>
      </x:c>
      <x:c r="B12" s="13" t="n">
        <x:f>MAX(0,'Inputs'!$C$21*1.25-('Inputs'!$C$21*1.25-'Inputs'!$C$21)*(A12/'Inputs'!$C$20)^2)</x:f>
        <x:v>16.5031824375</x:v>
      </x:c>
      <x:c r="C12" s="13" t="n">
        <x:f>'Route_NPSH'!$B$20-('Route_NPSH'!$B$8+'Route_NPSH'!$B$19)*(1-(A12/'Inputs'!$C$17)^2)</x:f>
        <x:v>26.729112176085444</x:v>
      </x:c>
      <x:c r="D12" s="13" t="n">
        <x:f>'Inputs'!$C$23</x:f>
        <x:v>2.4002</x:v>
      </x:c>
      <x:c r="E12" s="13" t="n">
        <x:f>'Route_NPSH'!$B$10</x:f>
        <x:v>3.4351774815653098</x:v>
      </x:c>
      <x:c r="F12" s="13" t="n">
        <x:f>E12-D12</x:f>
        <x:v>1.0349774815653099</x:v>
      </x:c>
      <x:c r="G12" s="7" t="str">
        <x:f>IF(E12&lt;=D12,"CAVITATION RISK",IF(F12&lt;'Inputs'!$C$27,"WARNING","SAFE"))</x:f>
        <x:v>SAFE</x:v>
      </x:c>
      <x:c r="H12" s="7" t="str">
        <x:v>Quadratic system curve uses operating-point losses for visual demonstration.</x:v>
      </x:c>
    </x:row>
    <x:row r="13">
      <x:c r="A13" s="13" t="n">
        <x:v>85.05779489999999</x:v>
      </x:c>
      <x:c r="B13" s="13" t="n">
        <x:f>MAX(0,'Inputs'!$C$21*1.25-('Inputs'!$C$21*1.25-'Inputs'!$C$21)*(A13/'Inputs'!$C$20)^2)</x:f>
        <x:v>12.662441797500009</x:v>
      </x:c>
      <x:c r="C13" s="13" t="n">
        <x:f>'Route_NPSH'!$B$20-('Route_NPSH'!$B$8+'Route_NPSH'!$B$19)*(1-(A13/'Inputs'!$C$17)^2)</x:f>
        <x:v>32.960807106874825</x:v>
      </x:c>
      <x:c r="D13" s="13" t="n">
        <x:f>'Inputs'!$C$23</x:f>
        <x:v>2.4002</x:v>
      </x:c>
      <x:c r="E13" s="13" t="n">
        <x:f>'Route_NPSH'!$B$10</x:f>
        <x:v>3.4351774815653098</x:v>
      </x:c>
      <x:c r="F13" s="13" t="n">
        <x:f>E13-D13</x:f>
        <x:v>1.0349774815653099</x:v>
      </x:c>
      <x:c r="G13" s="7" t="str">
        <x:f>IF(E13&lt;=D13,"CAVITATION RISK",IF(F13&lt;'Inputs'!$C$27,"WARNING","SAFE"))</x:f>
        <x:v>SAFE</x:v>
      </x:c>
      <x:c r="H13" s="7" t="str">
        <x:v>Quadratic system curve uses operating-point losses for visual demonstration.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c42c4d485ba455f"/>
</x:worksheet>
</file>

<file path=xl/worksheets/sheet6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47.779998779296875" hidden="0" customWidth="1"/>
    <x:col min="3" max="3" width="47.779998779296875" hidden="0" customWidth="1"/>
    <x:col min="4" max="4" width="15.479999542236328" hidden="0" customWidth="1"/>
    <x:col min="5" max="5" width="11.4399995803833" hidden="0" customWidth="1"/>
    <x:col min="6" max="6" width="43.7400016784668" hidden="0" customWidth="1"/>
  </x:cols>
  <x:sheetData>
    <x:row r="1" ht="25.5" customHeight="1">
      <x:c r="A1" s="17" t="str">
        <x:v>Calculation Trace / Step-by-Step Report</x:v>
      </x:c>
      <x:c r="B1" s="17" t="str">
        <x:v>Calculation Trace / Step-by-Step Report</x:v>
      </x:c>
      <x:c r="C1" s="17" t="str">
        <x:v>Calculation Trace / Step-by-Step Report</x:v>
      </x:c>
      <x:c r="D1" s="17" t="str">
        <x:v>Calculation Trace / Step-by-Step Report</x:v>
      </x:c>
      <x:c r="E1" s="17" t="str">
        <x:v>Calculation Trace / Step-by-Step Report</x:v>
      </x:c>
      <x:c r="F1" s="17" t="str">
        <x:v>Calculation Trace / Step-by-Step Report</x:v>
      </x:c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19.5" customHeight="1">
      <x:c r="A2" s="4" t="str">
        <x:v>This sheet is designed for presentation: equation, substitution route, result, and literature basis.</x:v>
      </x:c>
      <x:c r="B2" s="4" t="str">
        <x:v>This sheet is designed for presentation: equation, substitution route, result, and literature basis.</x:v>
      </x:c>
      <x:c r="C2" s="4" t="str">
        <x:v>This sheet is designed for presentation: equation, substitution route, result, and literature basis.</x:v>
      </x:c>
      <x:c r="D2" s="4" t="str">
        <x:v>This sheet is designed for presentation: equation, substitution route, result, and literature basis.</x:v>
      </x:c>
      <x:c r="E2" s="4" t="str">
        <x:v>This sheet is designed for presentation: equation, substitution route, result, and literature basis.</x:v>
      </x:c>
      <x:c r="F2" s="4" t="str">
        <x:v>This sheet is designed for presentation: equation, substitution route, result, and literature basis.</x:v>
      </x:c>
    </x:row>
    <x:row r="4">
      <x:c r="A4" s="5" t="str">
        <x:v>Step</x:v>
      </x:c>
      <x:c r="B4" s="5" t="str">
        <x:v>Equation</x:v>
      </x:c>
      <x:c r="C4" s="5" t="str">
        <x:v>Substitution route</x:v>
      </x:c>
      <x:c r="D4" s="5" t="str">
        <x:v>Live result</x:v>
      </x:c>
      <x:c r="E4" s="5" t="str">
        <x:v>Unit</x:v>
      </x:c>
      <x:c r="F4" s="5" t="str">
        <x:v>Reference / basis</x:v>
      </x:c>
    </x:row>
    <x:row r="5">
      <x:c r="A5" s="7" t="str">
        <x:v>1. Fluid basis</x:v>
      </x:c>
      <x:c r="B5" s="7" t="str">
        <x:v>rho, nu, Pv from fluid properties</x:v>
      </x:c>
      <x:c r="C5" s="7" t="str">
        <x:v>Inputs!C9, Inputs!C10, Inputs!C12</x:v>
      </x:c>
      <x:c r="D5" s="13" t="n">
        <x:f>'Inputs'!$C$9</x:f>
        <x:v>958.3483835924421</x:v>
      </x:c>
      <x:c r="E5" s="7" t="str">
        <x:v>-</x:v>
      </x:c>
      <x:c r="F5" s="7" t="str">
        <x:v>IAPWS-based water property correlation; verify for final design.</x:v>
      </x:c>
    </x:row>
    <x:row r="6">
      <x:c r="A6" s="7" t="str">
        <x:v>2. Source pressure head</x:v>
      </x:c>
      <x:c r="B6" s="7" t="str">
        <x:v>Hp = Psrc x 100000 / (rho x g)</x:v>
      </x:c>
      <x:c r="C6" s="7" t="str">
        <x:v>Route_NPSH!B5</x:v>
      </x:c>
      <x:c r="D6" s="13" t="n">
        <x:f>'Route_NPSH'!$B$5</x:f>
        <x:v>15.960524853531513</x:v>
      </x:c>
      <x:c r="E6" s="7" t="str">
        <x:v>m</x:v>
      </x:c>
      <x:c r="F6" s="7" t="str">
        <x:v>Bernoulli pressure-head term.</x:v>
      </x:c>
    </x:row>
    <x:row r="7">
      <x:c r="A7" s="7" t="str">
        <x:v>3. Suction pipe loss</x:v>
      </x:c>
      <x:c r="B7" s="7" t="str">
        <x:v>hL,suction = SUM(hmajor + hminor)</x:v>
      </x:c>
      <x:c r="C7" s="7" t="str">
        <x:v>Pipe_Segments rows with Role = Suction</x:v>
      </x:c>
      <x:c r="D7" s="13" t="n">
        <x:f>'Route_NPSH'!$B$8</x:f>
        <x:v>2.234117965790587</x:v>
      </x:c>
      <x:c r="E7" s="7" t="str">
        <x:v>m</x:v>
      </x:c>
      <x:c r="F7" s="7" t="str">
        <x:v>Darcy-Weisbach and local K losses.</x:v>
      </x:c>
    </x:row>
    <x:row r="8">
      <x:c r="A8" s="7" t="str">
        <x:v>4. Vapor pressure head</x:v>
      </x:c>
      <x:c r="B8" s="7" t="str">
        <x:v>Hvap = Pv x 100000 / (rho x g)</x:v>
      </x:c>
      <x:c r="C8" s="7" t="str">
        <x:v>Route_NPSH!B9</x:v>
      </x:c>
      <x:c r="D8" s="13" t="n">
        <x:f>'Route_NPSH'!$B$9</x:f>
        <x:v>10.791229406175617</x:v>
      </x:c>
      <x:c r="E8" s="7" t="str">
        <x:v>m</x:v>
      </x:c>
      <x:c r="F8" s="7" t="str">
        <x:v>NPSH definition subtracts vapor pressure head.</x:v>
      </x:c>
    </x:row>
    <x:row r="9">
      <x:c r="A9" s="7" t="str">
        <x:v>5. NPSHa</x:v>
      </x:c>
      <x:c r="B9" s="7" t="str">
        <x:v>NPSHa = Hp,src + zSRC - zPump,suction - hL,suction - Hvap</x:v>
      </x:c>
      <x:c r="C9" s="7" t="str">
        <x:v>Route_NPSH!B10</x:v>
      </x:c>
      <x:c r="D9" s="13" t="n">
        <x:f>'Route_NPSH'!$B$10</x:f>
        <x:v>3.4351774815653098</x:v>
      </x:c>
      <x:c r="E9" s="7" t="str">
        <x:v>m</x:v>
      </x:c>
      <x:c r="F9" s="7" t="str">
        <x:v>Available suction head above vapor pressure.</x:v>
      </x:c>
    </x:row>
    <x:row r="10">
      <x:c r="A10" s="7" t="str">
        <x:v>6. NPSHr</x:v>
      </x:c>
      <x:c r="B10" s="7" t="str">
        <x:v>NPSHr = pump required NPSH</x:v>
      </x:c>
      <x:c r="C10" s="7" t="str">
        <x:v>Inputs!C23</x:v>
      </x:c>
      <x:c r="D10" s="13" t="n">
        <x:f>'Route_NPSH'!$B$11</x:f>
        <x:v>2.4002</x:v>
      </x:c>
      <x:c r="E10" s="7" t="str">
        <x:v>m</x:v>
      </x:c>
      <x:c r="F10" s="7" t="str">
        <x:v>Imported from HYSYS XML NPSHRequired.</x:v>
      </x:c>
    </x:row>
    <x:row r="11">
      <x:c r="A11" s="7" t="str">
        <x:v>7. Margin</x:v>
      </x:c>
      <x:c r="B11" s="7" t="str">
        <x:v>Margin = NPSHa - NPSHr</x:v>
      </x:c>
      <x:c r="C11" s="7" t="str">
        <x:v>Route_NPSH!B12</x:v>
      </x:c>
      <x:c r="D11" s="13" t="n">
        <x:f>'Route_NPSH'!$B$12</x:f>
        <x:v>1.0349774815653099</x:v>
      </x:c>
      <x:c r="E11" s="7" t="str">
        <x:v>m</x:v>
      </x:c>
      <x:c r="F11" s="7" t="str">
        <x:v>Positive margin reduces cavitation risk.</x:v>
      </x:c>
    </x:row>
    <x:row r="12">
      <x:c r="A12" s="7" t="str">
        <x:v>8. Ratio</x:v>
      </x:c>
      <x:c r="B12" s="7" t="str">
        <x:v>Ratio = NPSHa / NPSHr</x:v>
      </x:c>
      <x:c r="C12" s="7" t="str">
        <x:v>Route_NPSH!B13</x:v>
      </x:c>
      <x:c r="D12" s="13" t="n">
        <x:f>'Route_NPSH'!$B$13</x:f>
        <x:v>1.431204683595246</x:v>
      </x:c>
      <x:c r="E12" s="7" t="str">
        <x:v>-</x:v>
      </x:c>
      <x:c r="F12" s="7" t="str">
        <x:v>Configured minimum ratio check.</x:v>
      </x:c>
    </x:row>
    <x:row r="13">
      <x:c r="A13" s="7" t="str">
        <x:v>9. Pump head</x:v>
      </x:c>
      <x:c r="B13" s="7" t="str">
        <x:v>H = Hshutoff - (Hshutoff - Hbep)(Q/BEP)^2</x:v>
      </x:c>
      <x:c r="C13" s="7" t="str">
        <x:v>Route_NPSH!B18</x:v>
      </x:c>
      <x:c r="D13" s="13" t="n">
        <x:f>'Route_NPSH'!$B$18</x:f>
        <x:v>24.004629</x:v>
      </x:c>
      <x:c r="E13" s="7" t="str">
        <x:v>m</x:v>
      </x:c>
      <x:c r="F13" s="7" t="str">
        <x:v>GhaniSIM Basic pump performance model.</x:v>
      </x:c>
    </x:row>
    <x:row r="14">
      <x:c r="A14" s="7" t="str">
        <x:v>10. System head</x:v>
      </x:c>
      <x:c r="B14" s="7" t="str">
        <x:v>Hsys = pressure head difference + elevation difference + route losses</x:v>
      </x:c>
      <x:c r="C14" s="7" t="str">
        <x:v>Route_NPSH!B20</x:v>
      </x:c>
      <x:c r="D14" s="13" t="n">
        <x:f>'Route_NPSH'!$B$20</x:f>
        <x:v>14.557833014387434</x:v>
      </x:c>
      <x:c r="E14" s="7" t="str">
        <x:v>m</x:v>
      </x:c>
      <x:c r="F14" s="7" t="str">
        <x:v>Bernoulli energy equation.</x:v>
      </x:c>
    </x:row>
    <x:row r="15">
      <x:c r="A15" s="7" t="str">
        <x:v>11. SNK Flow Demand</x:v>
      </x:c>
      <x:c r="B15" s="7" t="str">
        <x:v>Preq = Psrc + rho*g/100000*(Hpump - dz - losses)</x:v>
      </x:c>
      <x:c r="C15" s="7" t="str">
        <x:v>Route_NPSH!B23</x:v>
      </x:c>
      <x:c r="D15" s="13" t="n">
        <x:f>'Route_NPSH'!$B$23</x:f>
        <x:v>1.901077568858644</x:v>
      </x:c>
      <x:c r="E15" s="7" t="str">
        <x:v>bar a</x:v>
      </x:c>
      <x:c r="F15" s="7" t="str">
        <x:v>For Flow Demand Boundary, pressure is calculated as a readout.</x:v>
      </x:c>
    </x:row>
    <x:row r="16">
      <x:c r="A16" s="7" t="str">
        <x:v>12. Final status</x:v>
      </x:c>
      <x:c r="B16" s="7" t="str">
        <x:v>SAFE / WARNING / CAVITATION RISK</x:v>
      </x:c>
      <x:c r="C16" s="7" t="str">
        <x:v>Route_NPSH!B16 and Route_NPSH!B24</x:v>
      </x:c>
      <x:c r="D16" s="13" t="str">
        <x:f>'Route_NPSH'!$B$16&amp;" / "&amp;'Route_NPSH'!$B$24</x:f>
        <x:v>SAFE / SAFE - required pressure is a readout</x:v>
      </x:c>
      <x:c r="E16" s="7" t="str">
        <x:v>-</x:v>
      </x:c>
      <x:c r="F16" s="7" t="str">
        <x:v>Application warning logic for pump and boundary.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32.970001220703125" hidden="0" customWidth="1"/>
    <x:col min="3" max="3" width="57.20000076293945" hidden="0" customWidth="1"/>
    <x:col min="4" max="4" width="34.31999969482422" hidden="0" customWidth="1"/>
    <x:col min="5" max="5" width="19.520000457763672" hidden="0" customWidth="1"/>
    <x:col min="6" max="6" width="28.940000534057617" hidden="0" customWidth="1"/>
    <x:col min="7" max="7" width="39.70000076293945" hidden="0" customWidth="1"/>
  </x:cols>
  <x:sheetData>
    <x:row r="1" ht="25.5" customHeight="1">
      <x:c r="A1" s="17" t="str">
        <x:v>Formula Dictionary</x:v>
      </x:c>
      <x:c r="B1" s="17" t="str">
        <x:v>Formula Dictionary</x:v>
      </x:c>
      <x:c r="C1" s="17" t="str">
        <x:v>Formula Dictionary</x:v>
      </x:c>
      <x:c r="D1" s="17" t="str">
        <x:v>Formula Dictionary</x:v>
      </x:c>
      <x:c r="E1" s="17" t="str">
        <x:v>Formula Dictionary</x:v>
      </x:c>
      <x:c r="F1" s="17" t="str">
        <x:v>Formula Dictionary</x:v>
      </x:c>
      <x:c r="G1" s="17" t="str">
        <x:v>Formula Dictionary</x:v>
      </x:c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19.5" customHeight="1">
      <x:c r="A2" s="4" t="str">
        <x:v>Core formulas used by the workbook and by the application calculation route.</x:v>
      </x:c>
      <x:c r="B2" s="4" t="str">
        <x:v>Core formulas used by the workbook and by the application calculation route.</x:v>
      </x:c>
      <x:c r="C2" s="4" t="str">
        <x:v>Core formulas used by the workbook and by the application calculation route.</x:v>
      </x:c>
      <x:c r="D2" s="4" t="str">
        <x:v>Core formulas used by the workbook and by the application calculation route.</x:v>
      </x:c>
      <x:c r="E2" s="4" t="str">
        <x:v>Core formulas used by the workbook and by the application calculation route.</x:v>
      </x:c>
      <x:c r="F2" s="4" t="str">
        <x:v>Core formulas used by the workbook and by the application calculation route.</x:v>
      </x:c>
      <x:c r="G2" s="4" t="str">
        <x:v>Core formulas used by the workbook and by the application calculation route.</x:v>
      </x:c>
    </x:row>
    <x:row r="4">
      <x:c r="A4" s="5" t="str">
        <x:v>Topic</x:v>
      </x:c>
      <x:c r="B4" s="5" t="str">
        <x:v>Formula</x:v>
      </x:c>
      <x:c r="C4" s="5" t="str">
        <x:v>Meaning</x:v>
      </x:c>
      <x:c r="D4" s="5" t="str">
        <x:v>Excel implementation</x:v>
      </x:c>
      <x:c r="E4" s="5" t="str">
        <x:v>Unit</x:v>
      </x:c>
      <x:c r="F4" s="5" t="str">
        <x:v>Where used</x:v>
      </x:c>
      <x:c r="G4" s="5" t="str">
        <x:v>Reference</x:v>
      </x:c>
    </x:row>
    <x:row r="5">
      <x:c r="A5" s="7" t="str">
        <x:v>Pressure head</x:v>
      </x:c>
      <x:c r="B5" s="7" t="str">
        <x:v>Hp = P x 100000 / (rho x g)</x:v>
      </x:c>
      <x:c r="C5" s="7" t="str">
        <x:v>Converts absolute pressure in bar to liquid head.</x:v>
      </x:c>
      <x:c r="D5" s="7" t="str">
        <x:v>Route_NPSH!B5</x:v>
      </x:c>
      <x:c r="E5" s="7" t="str">
        <x:v>m</x:v>
      </x:c>
      <x:c r="F5" s="7" t="str">
        <x:v>SRC, vapor pressure, pressure residual</x:v>
      </x:c>
      <x:c r="G5" s="7" t="str">
        <x:v>Fluid mechanics / Bernoulli</x:v>
      </x:c>
    </x:row>
    <x:row r="6">
      <x:c r="A6" s="7" t="str">
        <x:v>Velocity</x:v>
      </x:c>
      <x:c r="B6" s="7" t="str">
        <x:v>V = Q / A</x:v>
      </x:c>
      <x:c r="C6" s="7" t="str">
        <x:v>Q in m3/s divided by pipe cross-sectional area.</x:v>
      </x:c>
      <x:c r="D6" s="7" t="str">
        <x:v>Pipe_Segments!O:O</x:v>
      </x:c>
      <x:c r="E6" s="7" t="str">
        <x:v>m/s</x:v>
      </x:c>
      <x:c r="F6" s="7" t="str">
        <x:v>Pipe losses</x:v>
      </x:c>
      <x:c r="G6" s="7" t="str">
        <x:v>Darcy-Weisbach basis</x:v>
      </x:c>
    </x:row>
    <x:row r="7">
      <x:c r="A7" s="7" t="str">
        <x:v>Reynolds number</x:v>
      </x:c>
      <x:c r="B7" s="7" t="str">
        <x:v>Re = V D / nu</x:v>
      </x:c>
      <x:c r="C7" s="7" t="str">
        <x:v>Flow regime indicator using kinematic viscosity.</x:v>
      </x:c>
      <x:c r="D7" s="7" t="str">
        <x:v>Pipe_Segments!P:P</x:v>
      </x:c>
      <x:c r="E7" s="7" t="str">
        <x:v>-</x:v>
      </x:c>
      <x:c r="F7" s="7" t="str">
        <x:v>Friction factor</x:v>
      </x:c>
      <x:c r="G7" s="7" t="str">
        <x:v>Fluid mechanics</x:v>
      </x:c>
    </x:row>
    <x:row r="8">
      <x:c r="A8" s="7" t="str">
        <x:v>Darcy friction factor</x:v>
      </x:c>
      <x:c r="B8" s="7" t="str">
        <x:v>f = 64/Re or turbulent approximation</x:v>
      </x:c>
      <x:c r="C8" s="7" t="str">
        <x:v>Laminar and turbulent friction-factor branch.</x:v>
      </x:c>
      <x:c r="D8" s="7" t="str">
        <x:v>Pipe_Segments!Q:Q</x:v>
      </x:c>
      <x:c r="E8" s="7" t="str">
        <x:v>-</x:v>
      </x:c>
      <x:c r="F8" s="7" t="str">
        <x:v>Major loss</x:v>
      </x:c>
      <x:c r="G8" s="7" t="str">
        <x:v>Moody/Colebrook-style screening</x:v>
      </x:c>
    </x:row>
    <x:row r="9">
      <x:c r="A9" s="7" t="str">
        <x:v>Major loss</x:v>
      </x:c>
      <x:c r="B9" s="7" t="str">
        <x:v>hmajor = f(L/D)(V2/2g)</x:v>
      </x:c>
      <x:c r="C9" s="7" t="str">
        <x:v>Distributed pipe-wall friction loss.</x:v>
      </x:c>
      <x:c r="D9" s="7" t="str">
        <x:v>Pipe_Segments!S:S</x:v>
      </x:c>
      <x:c r="E9" s="7" t="str">
        <x:v>m</x:v>
      </x:c>
      <x:c r="F9" s="7" t="str">
        <x:v>Suction/discharge total loss</x:v>
      </x:c>
      <x:c r="G9" s="7" t="str">
        <x:v>Darcy-Weisbach</x:v>
      </x:c>
    </x:row>
    <x:row r="10">
      <x:c r="A10" s="7" t="str">
        <x:v>Minor loss</x:v>
      </x:c>
      <x:c r="B10" s="7" t="str">
        <x:v>hminor = K(V2/2g)</x:v>
      </x:c>
      <x:c r="C10" s="7" t="str">
        <x:v>Local loss due to valves, elbows, fittings, entrance/exit.</x:v>
      </x:c>
      <x:c r="D10" s="7" t="str">
        <x:v>Pipe_Segments!T:T</x:v>
      </x:c>
      <x:c r="E10" s="7" t="str">
        <x:v>m</x:v>
      </x:c>
      <x:c r="F10" s="7" t="str">
        <x:v>Fittings</x:v>
      </x:c>
      <x:c r="G10" s="7" t="str">
        <x:v>Crane/Perry-style K coefficient</x:v>
      </x:c>
    </x:row>
    <x:row r="11">
      <x:c r="A11" s="7" t="str">
        <x:v>Add K rule</x:v>
      </x:c>
      <x:c r="B11" s="7" t="str">
        <x:v>Ktotal = IF(AddK&gt;0, AddK, Qty x K_each)</x:v>
      </x:c>
      <x:c r="C11" s="7" t="str">
        <x:v>Direct Add_K overrides K_each for the segment.</x:v>
      </x:c>
      <x:c r="D11" s="7" t="str">
        <x:v>Pipe_Segments!M:M</x:v>
      </x:c>
      <x:c r="E11" s="7" t="str">
        <x:v>-</x:v>
      </x:c>
      <x:c r="F11" s="7" t="str">
        <x:v>All pipe segments</x:v>
      </x:c>
      <x:c r="G11" s="7" t="str">
        <x:v>Application logic</x:v>
      </x:c>
    </x:row>
    <x:row r="12">
      <x:c r="A12" s="7" t="str">
        <x:v>NPSHa</x:v>
      </x:c>
      <x:c r="B12" s="7" t="str">
        <x:v>NPSHa = Hp,src + zsrc - zpump - hL,suction - Hvap</x:v>
      </x:c>
      <x:c r="C12" s="7" t="str">
        <x:v>Available head above vapor pressure at pump suction.</x:v>
      </x:c>
      <x:c r="D12" s="7" t="str">
        <x:v>Route_NPSH!B10</x:v>
      </x:c>
      <x:c r="E12" s="7" t="str">
        <x:v>m</x:v>
      </x:c>
      <x:c r="F12" s="7" t="str">
        <x:v>Cavitation analysis</x:v>
      </x:c>
      <x:c r="G12" s="7" t="str">
        <x:v>Pump/NPSH literature</x:v>
      </x:c>
    </x:row>
    <x:row r="13">
      <x:c r="A13" s="7" t="str">
        <x:v>NPSH margin</x:v>
      </x:c>
      <x:c r="B13" s="7" t="str">
        <x:v>Margin = NPSHa - NPSHr</x:v>
      </x:c>
      <x:c r="C13" s="7" t="str">
        <x:v>Positive margin is required before additional acceptance criteria.</x:v>
      </x:c>
      <x:c r="D13" s="7" t="str">
        <x:v>Route_NPSH!B12</x:v>
      </x:c>
      <x:c r="E13" s="7" t="str">
        <x:v>m</x:v>
      </x:c>
      <x:c r="F13" s="7" t="str">
        <x:v>Pump status</x:v>
      </x:c>
      <x:c r="G13" s="7" t="str">
        <x:v>ANSI/HI margin guidance</x:v>
      </x:c>
    </x:row>
    <x:row r="14">
      <x:c r="A14" s="7" t="str">
        <x:v>NPSH ratio</x:v>
      </x:c>
      <x:c r="B14" s="7" t="str">
        <x:v>Ratio = NPSHa / NPSHr</x:v>
      </x:c>
      <x:c r="C14" s="7" t="str">
        <x:v>Ratio check against selected reliability basis.</x:v>
      </x:c>
      <x:c r="D14" s="7" t="str">
        <x:v>Route_NPSH!B13</x:v>
      </x:c>
      <x:c r="E14" s="7" t="str">
        <x:v>-</x:v>
      </x:c>
      <x:c r="F14" s="7" t="str">
        <x:v>Pump status</x:v>
      </x:c>
      <x:c r="G14" s="7" t="str">
        <x:v>ANSI/HI margin guidance</x:v>
      </x:c>
    </x:row>
    <x:row r="15">
      <x:c r="A15" s="7" t="str">
        <x:v>Basic pump curve</x:v>
      </x:c>
      <x:c r="B15" s="7" t="str">
        <x:v>H = Hshutoff - (Hshutoff-Hbep)(Q/BEP)^2</x:v>
      </x:c>
      <x:c r="C15" s="7" t="str">
        <x:v>Generic pump head curve used when no manufacturer curve is supplied.</x:v>
      </x:c>
      <x:c r="D15" s="7" t="str">
        <x:v>Route_NPSH!B18</x:v>
      </x:c>
      <x:c r="E15" s="7" t="str">
        <x:v>m</x:v>
      </x:c>
      <x:c r="F15" s="7" t="str">
        <x:v>Pump operating point</x:v>
      </x:c>
      <x:c r="G15" s="7" t="str">
        <x:v>GhaniSIM basic model</x:v>
      </x:c>
    </x:row>
    <x:row r="16">
      <x:c r="A16" s="7" t="str">
        <x:v>System head</x:v>
      </x:c>
      <x:c r="B16" s="7" t="str">
        <x:v>Hsys = DeltaPhead + DeltaZ + hL</x:v>
      </x:c>
      <x:c r="C16" s="7" t="str">
        <x:v>Route resistance and boundary pressure/elevation requirement.</x:v>
      </x:c>
      <x:c r="D16" s="7" t="str">
        <x:v>Route_NPSH!B20</x:v>
      </x:c>
      <x:c r="E16" s="7" t="str">
        <x:v>m</x:v>
      </x:c>
      <x:c r="F16" s="7" t="str">
        <x:v>Boundary residual</x:v>
      </x:c>
      <x:c r="G16" s="7" t="str">
        <x:v>Bernoulli energy equation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69.30999755859375" hidden="0" customWidth="1"/>
    <x:col min="3" max="3" width="69.30999755859375" hidden="0" customWidth="1"/>
    <x:col min="4" max="4" width="18.170000076293945" hidden="0" customWidth="1"/>
  </x:cols>
  <x:sheetData>
    <x:row r="1" ht="25.5" customHeight="1">
      <x:c r="A1" s="17" t="str">
        <x:v>References and Academic Basis</x:v>
      </x:c>
      <x:c r="B1" s="17" t="str">
        <x:v>References and Academic Basis</x:v>
      </x:c>
      <x:c r="C1" s="17" t="str">
        <x:v>References and Academic Basis</x:v>
      </x:c>
      <x:c r="D1" s="17" t="str">
        <x:v>References and Academic Basis</x:v>
      </x:c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19.5" customHeight="1">
      <x:c r="A2" s="4" t="str">
        <x:v>Use these references when explaining the calculation basis to the thesis advisor.</x:v>
      </x:c>
      <x:c r="B2" s="4" t="str">
        <x:v>Use these references when explaining the calculation basis to the thesis advisor.</x:v>
      </x:c>
      <x:c r="C2" s="4" t="str">
        <x:v>Use these references when explaining the calculation basis to the thesis advisor.</x:v>
      </x:c>
      <x:c r="D2" s="4" t="str">
        <x:v>Use these references when explaining the calculation basis to the thesis advisor.</x:v>
      </x:c>
    </x:row>
    <x:row r="4">
      <x:c r="A4" s="5" t="str">
        <x:v>Topic</x:v>
      </x:c>
      <x:c r="B4" s="5" t="str">
        <x:v>Reference</x:v>
      </x:c>
      <x:c r="C4" s="5" t="str">
        <x:v>How it supports the workbook</x:v>
      </x:c>
      <x:c r="D4" s="5" t="str">
        <x:v>Type</x:v>
      </x:c>
    </x:row>
    <x:row r="5">
      <x:c r="A5" s="7" t="str">
        <x:v>Fluid mechanics</x:v>
      </x:c>
      <x:c r="B5" s="7" t="str">
        <x:v>pdf_ref/ref1-fluid-mechanics-fundaments-and-applications.pdf</x:v>
      </x:c>
      <x:c r="C5" s="7" t="str">
        <x:v>Bernoulli equation, pressure head, velocity head, head loss.</x:v>
      </x:c>
      <x:c r="D5" s="7" t="str">
        <x:v>Local PDF</x:v>
      </x:c>
    </x:row>
    <x:row r="6">
      <x:c r="A6" s="7" t="str">
        <x:v>Fluid mechanics</x:v>
      </x:c>
      <x:c r="B6" s="7" t="str">
        <x:v>pdf_ref/ref2-introduction-fluid-mechanics.pdf</x:v>
      </x:c>
      <x:c r="C6" s="7" t="str">
        <x:v>Pipe-flow fundamentals, Reynolds number, friction losses.</x:v>
      </x:c>
      <x:c r="D6" s="7" t="str">
        <x:v>Local PDF</x:v>
      </x:c>
    </x:row>
    <x:row r="7">
      <x:c r="A7" s="7" t="str">
        <x:v>Pump cavitation</x:v>
      </x:c>
      <x:c r="B7" s="7" t="str">
        <x:v>pdf_ref/ref3-cavitations_and_centrifugal_pump_book_edward.pdf</x:v>
      </x:c>
      <x:c r="C7" s="7" t="str">
        <x:v>Cavitation mechanism and relation to NPSH.</x:v>
      </x:c>
      <x:c r="D7" s="7" t="str">
        <x:v>Local PDF</x:v>
      </x:c>
    </x:row>
    <x:row r="8">
      <x:c r="A8" s="7" t="str">
        <x:v>NPSH margin</x:v>
      </x:c>
      <x:c r="B8" s="7" t="str">
        <x:v>pdf_ref/ref4-standar_ANSI-9-6-2024_rotodynamic_pump_guidline_for_NPSH_margin-hydraulic-institute.pdf</x:v>
      </x:c>
      <x:c r="C8" s="7" t="str">
        <x:v>NPSH margin and reliability basis.</x:v>
      </x:c>
      <x:c r="D8" s="7" t="str">
        <x:v>Local PDF</x:v>
      </x:c>
    </x:row>
    <x:row r="9">
      <x:c r="A9" s="7" t="str">
        <x:v>Atmosphere conversion</x:v>
      </x:c>
      <x:c r="B9" s="7" t="str">
        <x:v>https://www.nist.gov/pml/special-publication-811/nist-guide-si-appendix-b-conversion-factors</x:v>
      </x:c>
      <x:c r="C9" s="7" t="str">
        <x:v>1 standard atmosphere = 101325 Pa = 1.01325 bar.</x:v>
      </x:c>
      <x:c r="D9" s="7" t="str">
        <x:v>External</x:v>
      </x:c>
    </x:row>
    <x:row r="10">
      <x:c r="A10" s="7" t="str">
        <x:v>Water properties</x:v>
      </x:c>
      <x:c r="B10" s="7" t="str">
        <x:v>https://webbook.nist.gov/chemistry/fluid/</x:v>
      </x:c>
      <x:c r="C10" s="7" t="str">
        <x:v>Independent reference for water thermophysical property checks.</x:v>
      </x:c>
      <x:c r="D10" s="7" t="str">
        <x:v>External</x:v>
      </x:c>
    </x:row>
    <x:row r="11">
      <x:c r="A11" s="7" t="str">
        <x:v>Application source</x:v>
      </x:c>
      <x:c r="B11" s="7" t="str">
        <x:v>C:/Users/Zfaryana/Downloads/Pump case 6 converted from HYSYS XML.hysys</x:v>
      </x:c>
      <x:c r="C11" s="7" t="str">
        <x:v>Converted GhaniSIM .hysys scenario used as workbook source.</x:v>
      </x:c>
      <x:c r="D11" s="7" t="str">
        <x:v>Local scenario</x:v>
      </x:c>
    </x:row>
  </x:sheetData>
  <x:mergeCells>
    <x:mergeCell ref="A1:D1"/>
    <x:mergeCell ref="A2:D2"/>
  </x:mergeCells>
  <x:pageMargins left="0.7" right="0.7" top="0.75" bottom="0.75" header="0.3" footer="0.3"/>
</x:worksheet>
</file>